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9.xml" ContentType="application/vnd.openxmlformats-officedocument.spreadsheetml.worksheet+xml"/>
  <Override PartName="/xl/worksheets/sheet10.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e92bbe3c3934778" /></Relationships>
</file>

<file path=xl/workbook.xml><?xml version="1.0" encoding="utf-8"?>
<x:workbook xmlns:x="http://schemas.openxmlformats.org/spreadsheetml/2006/main">
  <x:sheets>
    <x:sheet xmlns:r="http://schemas.openxmlformats.org/officeDocument/2006/relationships" name="Guide" sheetId="1" r:id="R75846985073f4ba6"/>
    <x:sheet xmlns:r="http://schemas.openxmlformats.org/officeDocument/2006/relationships" name="EX-B1 Audit" sheetId="2" r:id="R8630556090224a43"/>
    <x:sheet xmlns:r="http://schemas.openxmlformats.org/officeDocument/2006/relationships" name="Stock Inputs" sheetId="3" r:id="Raa59c46203764ccd"/>
    <x:sheet xmlns:r="http://schemas.openxmlformats.org/officeDocument/2006/relationships" name="Joint Inputs" sheetId="4" r:id="R049ef5872ec449f6"/>
    <x:sheet xmlns:r="http://schemas.openxmlformats.org/officeDocument/2006/relationships" name="String Schedule" sheetId="5" r:id="Ra6832f0c102e4cd4"/>
    <x:sheet xmlns:r="http://schemas.openxmlformats.org/officeDocument/2006/relationships" name="Load Cases" sheetId="6" r:id="R632102a3272e4623"/>
    <x:sheet xmlns:r="http://schemas.openxmlformats.org/officeDocument/2006/relationships" name="Spine Calc" sheetId="7" r:id="Rab65dd39d0234eb8"/>
    <x:sheet xmlns:r="http://schemas.openxmlformats.org/officeDocument/2006/relationships" name="Joint Calc" sheetId="8" r:id="R1bf32248ff334645"/>
    <x:sheet xmlns:r="http://schemas.openxmlformats.org/officeDocument/2006/relationships" name="Review Limits" sheetId="9" r:id="R311016cda44d45f9"/>
    <x:sheet xmlns:r="http://schemas.openxmlformats.org/officeDocument/2006/relationships" name="Closure" sheetId="10" r:id="R2fd76eadd0844126"/>
    <x:sheet xmlns:r="http://schemas.openxmlformats.org/officeDocument/2006/relationships" name="Sources" sheetId="11" r:id="Radba095b98b0485d"/>
  </x:sheets>
</x:workbook>
</file>

<file path=xl/comments1.xml><?xml version="1.0" encoding="utf-8"?>
<x:comments xmlns:x="http://schemas.openxmlformats.org/spreadsheetml/2006/main">
  <x:authors>
    <x:author>tc={BA153873-21DF-4D14-BEB7-3CB3BA6A57BB}</x:author>
  </x:authors>
  <x:commentList>
    <x:comment ref="M6" authorId="0">
      <x:text>
        <x:r>
          <x:t>[Threaded comment]
Your version of Excel allows you to read this threaded comment; however, any edits to it will get removed if the file is opened in a newer version of Excel. Learn more: https://go.microsoft.com/fwlink/?linkid=870924
Comment:
    Derived upper bound: UW*(1+dUW)*(2*(L+dL)*(f+df))^2/386.4. Bounds must be documented. Does not include an arbitrary dynamic load factor.</x:t>
        </x:r>
      </x:text>
    </x:comment>
  </x:commentList>
</x:comments>
</file>

<file path=xl/comments2.xml><?xml version="1.0" encoding="utf-8"?>
<x:comments xmlns:x="http://schemas.openxmlformats.org/spreadsheetml/2006/main">
  <x:authors>
    <x:author>tc={1B0007E3-C28B-4BE8-ADA6-AE23C978C61F}</x:author>
  </x:authors>
  <x:commentList>
    <x:comment ref="B18" authorId="0">
      <x:text>
        <x:r>
          <x:t>[Threaded comment]
Your version of Excel allows you to read this threaded comment; however, any edits to it will get removed if the file is opened in a newer version of Excel. Learn more: https://go.microsoft.com/fwlink/?linkid=870924
Comment:
    Mx-only tension-row screen. h_eff is the actual tension/compression resultant lever arm, not automatically bolt spacing. Q is the independently calculated additional prying row force. Full bolt-group combined loading remains required.</x:t>
        </x:r>
      </x:text>
    </x:comment>
  </x:commentList>
</x:comments>
</file>

<file path=xl/comments3.xml><?xml version="1.0" encoding="utf-8"?>
<x:comments xmlns:x="http://schemas.openxmlformats.org/spreadsheetml/2006/main">
  <x:authors>
    <x:author>tc={77934EED-158A-46EE-9D5C-F57B48107424}</x:author>
  </x:authors>
  <x:commentList>
    <x:comment ref="C22" authorId="0">
      <x:text>
        <x:r>
          <x:t>[Threaded comment]
Your version of Excel allows you to read this threaded comment; however, any edits to it will get removed if the file is opened in a newer version of Excel. Learn more: https://go.microsoft.com/fwlink/?linkid=870924
Comment:
    Evidence completeness aid only. The fixed NOT RELEASED status at C23 is never changed by this formula. A reviewer must validate all source calculations and original Rev B prerequisites.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
    <x:numFmt numFmtId="202" formatCode="0.000000"/>
    <x:numFmt numFmtId="203" formatCode="0.00000000"/>
    <x:numFmt numFmtId="204" formatCode="0.0000"/>
    <x:numFmt numFmtId="205" formatCode="yyyy-mm-dd"/>
    <x:numFmt numFmtId="206" formatCode="0.00%"/>
    <x:numFmt numFmtId="207" formatCode="0.000"/>
  </x:numFmts>
  <x:fonts count="6">
    <x:font>
      <x:sz val="11"/>
      <x:name val="Carlito"/>
    </x:font>
    <x:font>
      <x:sz val="10"/>
      <x:color rgb="FF233342"/>
      <x:name val="Arial"/>
    </x:font>
    <x:font>
      <x:b/>
      <x:sz val="18"/>
      <x:color rgb="FFFFFFFF"/>
      <x:name val="Arial"/>
    </x:font>
    <x:font>
      <x:b/>
      <x:sz val="10"/>
      <x:color rgb="FFFFFFFF"/>
      <x:name val="Arial"/>
    </x:font>
    <x:font>
      <x:sz val="10"/>
      <x:color rgb="FF2455A4"/>
      <x:name val="Arial"/>
    </x:font>
    <x:font>
      <x:sz val="10"/>
      <x:color rgb="FF663F91"/>
      <x:name val="Arial"/>
    </x:font>
  </x:fonts>
  <x:fills count="9">
    <x:fill>
      <x:patternFill patternType="none"/>
    </x:fill>
    <x:fill>
      <x:patternFill patternType="gray125"/>
    </x:fill>
    <x:fill>
      <x:patternFill patternType="solid">
        <x:fgColor rgb="FF193142"/>
      </x:patternFill>
    </x:fill>
    <x:fill>
      <x:patternFill patternType="solid">
        <x:fgColor rgb="FFFFF2C6"/>
      </x:patternFill>
    </x:fill>
    <x:fill>
      <x:patternFill patternType="solid">
        <x:fgColor rgb="FF176B72"/>
      </x:patternFill>
    </x:fill>
    <x:fill>
      <x:patternFill patternType="solid">
        <x:fgColor rgb="FFF7F9FA"/>
      </x:patternFill>
    </x:fill>
    <x:fill>
      <x:patternFill patternType="solid">
        <x:fgColor rgb="FFEAF2F8"/>
      </x:patternFill>
    </x:fill>
    <x:fill>
      <x:patternFill patternType="solid">
        <x:fgColor rgb="FFF1EDFA"/>
      </x:patternFill>
    </x:fill>
    <x:fill>
      <x:patternFill patternType="solid">
        <x:fgColor rgb="FFF1F4F6"/>
      </x:patternFill>
    </x:fill>
  </x:fills>
  <x:borders count="1">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1" fontId="1" fillId="5"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5"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5"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204" fontId="4" fillId="6" borderId="0" xfId="0" applyNumberFormat="1" applyFont="1" applyFill="1" applyBorder="1" applyAlignment="1">
      <x:alignment vertical="center" wrapText="1"/>
    </x:xf>
    <x:xf numFmtId="205" fontId="4" fillId="6" borderId="0" xfId="0" applyNumberFormat="1" applyFont="1" applyFill="1" applyBorder="1" applyAlignment="1">
      <x:alignment vertical="center" wrapText="1"/>
    </x:xf>
    <x:xf numFmtId="203" fontId="4" fillId="6" borderId="0" xfId="0" applyNumberFormat="1" applyFont="1" applyFill="1" applyBorder="1" applyAlignment="1">
      <x:alignment vertical="center" wrapText="1"/>
    </x:xf>
    <x:xf numFmtId="206" fontId="4" fillId="6" borderId="0" xfId="0" applyNumberFormat="1" applyFont="1" applyFill="1" applyBorder="1" applyAlignment="1">
      <x:alignment vertical="center" wrapText="1"/>
    </x:xf>
    <x:xf numFmtId="207" fontId="1" fillId="5"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205" fontId="5" fillId="7" borderId="0" xfId="0" applyNumberFormat="1" applyFont="1" applyFill="1" applyBorder="1" applyAlignment="1">
      <x:alignment vertical="center" wrapText="1"/>
    </x:xf>
    <x:xf numFmtId="207" fontId="1" fillId="4" borderId="0" xfId="0" applyNumberFormat="1" applyFont="1" applyFill="1" applyBorder="1" applyAlignment="1">
      <x:alignment vertical="center" wrapText="1"/>
    </x:xf>
    <x:xf numFmtId="207" fontId="3" fillId="4"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207" fontId="5" fillId="7" borderId="0" xfId="0" applyNumberFormat="1" applyFont="1" applyFill="1" applyBorder="1" applyAlignment="1">
      <x:alignment vertical="center" wrapText="1"/>
    </x:xf>
    <x:xf numFmtId="207" fontId="1" fillId="8" borderId="0" xfId="0" applyNumberFormat="1" applyFont="1" applyFill="1" applyBorder="1" applyAlignment="1">
      <x:alignment vertical="center" wrapText="1"/>
    </x:xf>
  </x:cellXfs>
  <x:cellStyles count="1">
    <x:cellStyle name="Normal" xfId="0"/>
  </x:cellStyles>
  <x:dxfs count="15">
    <x:dxf>
      <x:fill>
        <x:patternFill patternType="solid">
          <x:bgColor rgb="FFFFF2C6"/>
        </x:patternFill>
      </x:fill>
    </x:dxf>
    <x:dxf>
      <x:font>
        <x:color rgb="FF922B21"/>
      </x:font>
      <x:fill>
        <x:patternFill patternType="solid">
          <x:bgColor rgb="FFFBE0DC"/>
        </x:patternFill>
      </x:fill>
    </x:dxf>
    <x:dxf>
      <x:fill>
        <x:patternFill patternType="solid">
          <x:bgColor rgb="FFE5F2EA"/>
        </x:patternFill>
      </x:fill>
    </x:dxf>
    <x:dxf>
      <x:fill>
        <x:patternFill patternType="solid">
          <x:bgColor rgb="FFFFF2C6"/>
        </x:patternFill>
      </x:fill>
    </x:dxf>
    <x:dxf>
      <x:font>
        <x:color rgb="FF922B21"/>
      </x:font>
      <x:fill>
        <x:patternFill patternType="solid">
          <x:bgColor rgb="FFFBE0DC"/>
        </x:patternFill>
      </x:fill>
    </x:dxf>
    <x:dxf>
      <x:fill>
        <x:patternFill patternType="solid">
          <x:bgColor rgb="FFE5F2EA"/>
        </x:patternFill>
      </x:fill>
    </x:dxf>
    <x:dxf>
      <x:fill>
        <x:patternFill patternType="solid">
          <x:bgColor rgb="FFFFF2C6"/>
        </x:patternFill>
      </x:fill>
    </x:dxf>
    <x:dxf>
      <x:font>
        <x:color rgb="FF922B21"/>
      </x:font>
      <x:fill>
        <x:patternFill patternType="solid">
          <x:bgColor rgb="FFFBE0DC"/>
        </x:patternFill>
      </x:fill>
    </x:dxf>
    <x:dxf>
      <x:fill>
        <x:patternFill patternType="solid">
          <x:bgColor rgb="FFE5F2EA"/>
        </x:patternFill>
      </x:fill>
    </x:dxf>
    <x:dxf>
      <x:fill>
        <x:patternFill patternType="solid">
          <x:bgColor rgb="FFFFF2C6"/>
        </x:patternFill>
      </x:fill>
    </x:dxf>
    <x:dxf>
      <x:font>
        <x:color rgb="FF922B21"/>
      </x:font>
      <x:fill>
        <x:patternFill patternType="solid">
          <x:bgColor rgb="FFFBE0DC"/>
        </x:patternFill>
      </x:fill>
    </x:dxf>
    <x:dxf>
      <x:fill>
        <x:patternFill patternType="solid">
          <x:bgColor rgb="FFE5F2EA"/>
        </x:patternFill>
      </x:fill>
    </x:dxf>
    <x:dxf>
      <x:fill>
        <x:patternFill patternType="solid">
          <x:bgColor rgb="FFFFF2C6"/>
        </x:patternFill>
      </x:fill>
    </x:dxf>
    <x:dxf>
      <x:font>
        <x:color rgb="FF922B21"/>
      </x:font>
      <x:fill>
        <x:patternFill patternType="solid">
          <x:bgColor rgb="FFFBE0DC"/>
        </x:patternFill>
      </x:fill>
    </x:dxf>
    <x:dxf>
      <x:fill>
        <x:patternFill patternType="solid">
          <x:bgColor rgb="FFE5F2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972f7032f84771" /><Relationship Type="http://schemas.openxmlformats.org/officeDocument/2006/relationships/theme" Target="/xl/theme/theme1.xml" Id="Rfad2c404da864286" /><Relationship Type="http://schemas.openxmlformats.org/officeDocument/2006/relationships/sharedStrings" Target="/xl/sharedStrings.xml" Id="R53e395f2f9834cee" /><Relationship Type="http://schemas.openxmlformats.org/officeDocument/2006/relationships/worksheet" Target="/xl/worksheets/sheet1.xml" Id="R75846985073f4ba6" /><Relationship Type="http://schemas.openxmlformats.org/officeDocument/2006/relationships/worksheet" Target="/xl/worksheets/sheet2.xml" Id="R8630556090224a43" /><Relationship Type="http://schemas.openxmlformats.org/officeDocument/2006/relationships/worksheet" Target="/xl/worksheets/sheet3.xml" Id="Raa59c46203764ccd" /><Relationship Type="http://schemas.openxmlformats.org/officeDocument/2006/relationships/worksheet" Target="/xl/worksheets/sheet4.xml" Id="R049ef5872ec449f6" /><Relationship Type="http://schemas.openxmlformats.org/officeDocument/2006/relationships/worksheet" Target="/xl/worksheets/sheet5.xml" Id="Ra6832f0c102e4cd4" /><Relationship Type="http://schemas.openxmlformats.org/officeDocument/2006/relationships/worksheet" Target="/xl/worksheets/sheet6.xml" Id="R632102a3272e4623" /><Relationship Type="http://schemas.openxmlformats.org/officeDocument/2006/relationships/worksheet" Target="/xl/worksheets/sheet7.xml" Id="Rab65dd39d0234eb8" /><Relationship Type="http://schemas.openxmlformats.org/officeDocument/2006/relationships/worksheet" Target="/xl/worksheets/sheet8.xml" Id="R1bf32248ff334645" /><Relationship Type="http://schemas.openxmlformats.org/officeDocument/2006/relationships/worksheet" Target="/xl/worksheets/sheet9.xml" Id="R311016cda44d45f9" /><Relationship Type="http://schemas.openxmlformats.org/officeDocument/2006/relationships/worksheet" Target="/xl/worksheets/sheet10.xml" Id="R2fd76eadd0844126" /><Relationship Type="http://schemas.openxmlformats.org/officeDocument/2006/relationships/worksheet" Target="/xl/worksheets/sheet11.xml" Id="Radba095b98b0485d" /><Relationship Type="http://schemas.microsoft.com/office/2017/10/relationships/person" Target="/xl/persons/person.xml" Id="R5d7b9d720ced494d" /></Relationships>
</file>

<file path=xl/persons/person.xml><?xml version="1.0" encoding="utf-8"?>
<xltc:personList xmlns:xltc="http://schemas.microsoft.com/office/spreadsheetml/2018/threadedcomments">
  <xltc:person displayName="Anonymous" id="{6D932A32-40B9-47B0-8557-572F6799ABC7}"/>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M6" dT="2026-09-08T16:01:46.436" personId="{6D932A32-40B9-47B0-8557-572F6799ABC7}" id="{BA153873-21DF-4D14-BEB7-3CB3BA6A57BB}">
    <xltc:text>Derived upper bound: UW*(1+dUW)*(2*(L+dL)*(f+df))^2/386.4. Bounds must be documented. Does not include an arbitrary dynamic load factor.</xltc:text>
  </xltc:threadedComment>
</xltc:ThreadedComments>
</file>

<file path=xl/threadedcomments/threadedcomment2.xml><?xml version="1.0" encoding="utf-8"?>
<xltc:ThreadedComments xmlns:xltc="http://schemas.microsoft.com/office/spreadsheetml/2018/threadedcomments">
  <xltc:threadedComment ref="B18" dT="2026-09-08T16:01:46.437" personId="{6D932A32-40B9-47B0-8557-572F6799ABC7}" id="{1B0007E3-C28B-4BE8-ADA6-AE23C978C61F}">
    <xltc:text>Mx-only tension-row screen. h_eff is the actual tension/compression resultant lever arm, not automatically bolt spacing. Q is the independently calculated additional prying row force. Full bolt-group combined loading remains required.</xltc:text>
  </xltc:threadedComment>
</xltc:ThreadedComments>
</file>

<file path=xl/threadedcomments/threadedcomment3.xml><?xml version="1.0" encoding="utf-8"?>
<xltc:ThreadedComments xmlns:xltc="http://schemas.microsoft.com/office/spreadsheetml/2018/threadedcomments">
  <xltc:threadedComment ref="C22" dT="2026-09-08T16:01:46.437" personId="{6D932A32-40B9-47B0-8557-572F6799ABC7}" id="{77934EED-158A-46EE-9D5C-F57B48107424}">
    <xltc:text>Evidence completeness aid only. The fixed NOT RELEASED status at C23 is never changed by this formula. A reviewer must validate all source calculations and original Rev B prerequisites.</xltc:text>
  </xltc:threadedComment>
</xltc:ThreadedComments>
</file>

<file path=xl/worksheets/_rels/sheet5.xml.rels>&#65279;<?xml version="1.0" encoding="utf-8"?><Relationships xmlns="http://schemas.openxmlformats.org/package/2006/relationships"><Relationship Type="http://schemas.openxmlformats.org/officeDocument/2006/relationships/comments" Target="/xl/comments1.xml" Id="R9af5c97a2d904dcc" /><Relationship Type="http://schemas.openxmlformats.org/officeDocument/2006/relationships/vmlDrawing" Target="/xl/drawings/vmldrawing.vml" Id="Rcb6283f1343b480d" /><Relationship Type="http://schemas.microsoft.com/office/2017/10/relationships/threadedComment" Target="/xl/threadedcomments/threadedcomment.xml" Id="R8b14014402af4bb6" /></Relationships>
</file>

<file path=xl/worksheets/_rels/sheet8.xml.rels>&#65279;<?xml version="1.0" encoding="utf-8"?><Relationships xmlns="http://schemas.openxmlformats.org/package/2006/relationships"><Relationship Type="http://schemas.openxmlformats.org/officeDocument/2006/relationships/comments" Target="/xl/comments2.xml" Id="R3f90b8f466404141" /><Relationship Type="http://schemas.openxmlformats.org/officeDocument/2006/relationships/vmlDrawing" Target="/xl/drawings/vmldrawing2.vml" Id="R4bb0449233cb41ce" /><Relationship Type="http://schemas.microsoft.com/office/2017/10/relationships/threadedComment" Target="/xl/threadedcomments/threadedcomment2.xml" Id="Re12c6957c9344872" /></Relationships>
</file>

<file path=xl/worksheets/_rels/sheet10.xml.rels>&#65279;<?xml version="1.0" encoding="utf-8"?><Relationships xmlns="http://schemas.openxmlformats.org/package/2006/relationships"><Relationship Type="http://schemas.openxmlformats.org/officeDocument/2006/relationships/comments" Target="/xl/comments3.xml" Id="Raa81dcb1f8534987" /><Relationship Type="http://schemas.openxmlformats.org/officeDocument/2006/relationships/vmlDrawing" Target="/xl/drawings/vmldrawing3.vml" Id="Rdd8dc4d2e05a4c4e" /><Relationship Type="http://schemas.microsoft.com/office/2017/10/relationships/threadedComment" Target="/xl/threadedcomments/threadedcomment3.xml" Id="Rd0fa9669a13944ed"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64" hidden="0" customWidth="1"/>
    <x:col min="3" max="3" width="66" hidden="0" customWidth="1"/>
  </x:cols>
  <x:sheetData>
    <x:row r="1" ht="28" customHeight="1">
      <x:c r="A1" s="5" t="str">
        <x:v>REV B | Measurement &amp; calculation workbook</x:v>
      </x:c>
      <x:c r="B1" s="5" t="str">
        <x:v>REV B | Measurement &amp; calculation workbook</x:v>
      </x:c>
      <x:c r="C1" s="5" t="str">
        <x:v>REV B | Measurement &amp; calculation workbook</x:v>
      </x:c>
    </x:row>
    <x:row r="2" ht="28" customHeight="1">
      <x:c r="A2" s="5" t="str">
        <x:v>REV B | Measurement &amp; calculation workbook</x:v>
      </x:c>
      <x:c r="B2" s="5" t="str">
        <x:v>REV B | Measurement &amp; calculation workbook</x:v>
      </x:c>
      <x:c r="C2" s="5" t="str">
        <x:v>REV B | Measurement &amp; calculation workbook</x:v>
      </x:c>
    </x:row>
    <x:row r="3" ht="43" customHeight="1">
      <x:c r="A3" s="6" t="str">
        <x:v>PROVISIONAL - NO FABRICATION OR TENSIONING RELEASE. Blank actual values mean unresolved, never zero.</x:v>
      </x:c>
      <x:c r="B3" s="6" t="str">
        <x:v>PROVISIONAL - NO FABRICATION OR TENSIONING RELEASE. Blank actual values mean unresolved, never zero.</x:v>
      </x:c>
      <x:c r="C3" s="6" t="str">
        <x:v>PROVISIONAL - NO FABRICATION OR TENSIONING RELEASE. Blank actual values mean unresolved, never zero.</x:v>
      </x:c>
    </x:row>
    <x:row r="4" ht="28" customHeight="1">
      <x:c r="A4" s="3"/>
      <x:c r="B4" s="3"/>
      <x:c r="C4" s="3"/>
    </x:row>
    <x:row r="5" ht="36" customHeight="1">
      <x:c r="A5" s="8" t="str">
        <x:v>Item</x:v>
      </x:c>
      <x:c r="B5" s="8" t="str">
        <x:v>Value / instruction</x:v>
      </x:c>
      <x:c r="C5" s="8" t="str">
        <x:v>Meaning / scope</x:v>
      </x:c>
    </x:row>
    <x:row r="6" ht="49" customHeight="1">
      <x:c r="A6" s="9" t="str">
        <x:v>Artifact</x:v>
      </x:c>
      <x:c r="B6" s="9" t="str">
        <x:v>Rev B gate worksheet v0.1</x:v>
      </x:c>
      <x:c r="C6" s="9" t="str">
        <x:v>Original worksheet and EX-B1/CX-1 are content sources; the Drive documents are unchanged.</x:v>
      </x:c>
    </x:row>
    <x:row r="7" ht="49" customHeight="1">
      <x:c r="A7" s="3" t="str">
        <x:v>Author / license</x:v>
      </x:c>
      <x:c r="B7" s="3" t="str">
        <x:v>Anonymous | CC0 1.0</x:v>
      </x:c>
      <x:c r="C7" s="3" t="str">
        <x:v>Applies to original worksheet content; source documents and cited publications retain their own terms.</x:v>
      </x:c>
    </x:row>
    <x:row r="8" ht="49" customHeight="1">
      <x:c r="A8" s="9" t="str">
        <x:v>State</x:v>
      </x:c>
      <x:c r="B8" s="9" t="str">
        <x:v>PLANNING ONLY</x:v>
      </x:c>
      <x:c r="C8" s="9" t="str">
        <x:v>Actual measurements, material identities, connection allowables and independent review remain unfilled.</x:v>
      </x:c>
    </x:row>
    <x:row r="9" ht="49" customHeight="1">
      <x:c r="A9" s="3" t="str">
        <x:v>Use order</x:v>
      </x:c>
      <x:c r="B9" s="3" t="str">
        <x:v>Stock Inputs -&gt; Joint Inputs -&gt; String Schedule -&gt; calculations -&gt; Review Limits -&gt; Closure</x:v>
      </x:c>
      <x:c r="C9" s="3" t="str">
        <x:v>Use the PDF to collect measurements, then enter the matching field IDs. Retain the underlying evidence.</x:v>
      </x:c>
    </x:row>
    <x:row r="10" ht="49" customHeight="1">
      <x:c r="A10" s="9" t="str">
        <x:v>Input key</x:v>
      </x:c>
      <x:c r="B10" s="9" t="str">
        <x:v>Blue = actual measurement or selected input; purple = reviewed limit or decision</x:v>
      </x:c>
      <x:c r="C10" s="9" t="str">
        <x:v>Formula cells are dark text. Source examples appear only on EX-B1 Audit and never populate real inputs.</x:v>
      </x:c>
    </x:row>
    <x:row r="11" ht="49" customHeight="1">
      <x:c r="A11" s="3" t="str">
        <x:v>Coordinates</x:v>
      </x:c>
      <x:c r="B11" s="3" t="str">
        <x:v>x: across strings; y: toward strings; z: along spine upward</x:v>
      </x:c>
      <x:c r="C11" s="3" t="str">
        <x:v>Origin: actual gross spine centroid in plan; z datum is a marked physical baseline. Record both joint reference axes.</x:v>
      </x:c>
    </x:row>
    <x:row r="12" ht="49" customHeight="1">
      <x:c r="A12" s="9" t="str">
        <x:v>Units</x:v>
      </x:c>
      <x:c r="B12" s="9" t="str">
        <x:v>in, lbf, psi; Hz; UW in lb/in</x:v>
      </x:c>
      <x:c r="C12" s="9" t="str">
        <x:v>One consistent calculation system. Millimetres / 25.4 -&gt; in; MPa x 145.0377377 -&gt; psi. Do not enter mm as in.</x:v>
      </x:c>
    </x:row>
    <x:row r="13" ht="49" customHeight="1">
      <x:c r="A13" s="3" t="str">
        <x:v>String count</x:v>
      </x:c>
      <x:c r="B13" s="10" t="n">
        <x:v>5</x:v>
      </x:c>
      <x:c r="C13" s="3" t="str">
        <x:v>Five source strings. Changes to count require a new model.</x:v>
      </x:c>
    </x:row>
    <x:row r="14" ht="49" customHeight="1">
      <x:c r="A14" s="9" t="str">
        <x:v>Per-string planning ceiling (lbf)</x:v>
      </x:c>
      <x:c r="B14" s="11" t="n">
        <x:v>20</x:v>
      </x:c>
      <x:c r="C14" s="9" t="str">
        <x:v>Source ceiling only. Use lower reviewed string/tuner/termination limits.</x:v>
      </x:c>
    </x:row>
    <x:row r="15" ht="49" customHeight="1">
      <x:c r="A15" s="3" t="str">
        <x:v>Total planning ceiling (lbf)</x:v>
      </x:c>
      <x:c r="B15" s="10" t="n">
        <x:v>100</x:v>
      </x:c>
      <x:c r="C15" s="3" t="str">
        <x:v>No component, joint or system rating is inferred from this figure.</x:v>
      </x:c>
    </x:row>
    <x:row r="16" ht="49" customHeight="1">
      <x:c r="A16" s="9" t="str">
        <x:v>Manufacturer equation denominator</x:v>
      </x:c>
      <x:c r="B16" s="12" t="n">
        <x:v>386.4</x:v>
      </x:c>
      <x:c r="C16" s="9" t="str">
        <x:v>D'Addario published inch/lbf equation; source P2.</x:v>
      </x:c>
    </x:row>
    <x:row r="17" ht="49" customHeight="1">
      <x:c r="A17" s="3" t="str">
        <x:v>N per lbf</x:v>
      </x:c>
      <x:c r="B17" s="13" t="n">
        <x:v>4.4482216152605</x:v>
      </x:c>
      <x:c r="C17" s="3" t="str">
        <x:v>Force conversion, for reporting only.</x:v>
      </x:c>
    </x:row>
    <x:row r="18" ht="49" customHeight="1">
      <x:c r="A18" s="9" t="str">
        <x:v>Reference A4 (Hz)</x:v>
      </x:c>
      <x:c r="B18" s="11" t="n">
        <x:v>440</x:v>
      </x:c>
      <x:c r="C18" s="9" t="str">
        <x:v>EX-B1 source assumption only; actual frequencies are entered explicitly on String Schedule.</x:v>
      </x:c>
    </x:row>
    <x:row r="19" ht="49" customHeight="1">
      <x:c r="A19" s="3" t="str">
        <x:v>Equal-temperament divisions/octave</x:v>
      </x:c>
      <x:c r="B19" s="10" t="n">
        <x:v>12</x:v>
      </x:c>
      <x:c r="C19" s="3" t="str">
        <x:v>EX-B1 arithmetic audit only; not a proposed change to the real tuning.</x:v>
      </x:c>
    </x:row>
    <x:row r="20" ht="49" customHeight="1">
      <x:c r="A20" s="9" t="str">
        <x:v>Static model</x:v>
      </x:c>
      <x:c r="B20" s="9" t="str">
        <x:v>Parallel speaking strings, T &gt;= 0; first-order elastic demands</x:v>
      </x:c>
      <x:c r="C20" s="9" t="str">
        <x:v>Model validity must be confirmed. Inclined contacts, tuner wraps, joint rotation and other loads need reviewed free-body calculations.</x:v>
      </x:c>
    </x:row>
    <x:row r="21" ht="49" customHeight="1">
      <x:c r="A21" s="3" t="str">
        <x:v>Load cases</x:v>
      </x:c>
      <x:c r="B21" s="3" t="str">
        <x:v>32 corners: each string at zero or its upper bounded tension</x:v>
      </x:c>
      <x:c r="C21" s="3" t="str">
        <x:v>Covers the static linear force/moment envelope for independently bounded tensions. No broken-string impact or fatigue rating follows.</x:v>
      </x:c>
    </x:row>
    <x:row r="22" ht="49" customHeight="1">
      <x:c r="A22" s="9" t="str">
        <x:v>Spine calculations</x:v>
      </x:c>
      <x:c r="B22" s="9" t="str">
        <x:v>Gross rectangle; optional reviewed net principal sections; Euler screen</x:v>
      </x:c>
      <x:c r="C22" s="9" t="str">
        <x:v>No clear-wood ultimate is used as an allowable. No automatic NDS interaction or member-capacity pass is claimed.</x:v>
      </x:c>
    </x:row>
    <x:row r="23" ht="49" customHeight="1">
      <x:c r="A23" s="3" t="str">
        <x:v>Joint calculations</x:v>
      </x:c>
      <x:c r="B23" s="3" t="str">
        <x:v>Joint-datum moments; bar cantilever screen; couple, bearing and two-bolt screens</x:v>
      </x:c>
      <x:c r="C23" s="3" t="str">
        <x:v>Actual prying, bolt-group load distribution, wood yield modes, tear-out and plate bending require review records.</x:v>
      </x:c>
    </x:row>
    <x:row r="24" ht="49" customHeight="1">
      <x:c r="A24" s="9" t="str">
        <x:v>Evidence</x:v>
      </x:c>
      <x:c r="B24" s="9" t="str">
        <x:v>For every selected or measured value: source ID, method, date and uncertainty</x:v>
      </x:c>
      <x:c r="C24" s="9" t="str">
        <x:v>Record nonloaded stock/layout measurements only. A planned or unavailable finished dimension is not a measurement.</x:v>
      </x:c>
    </x:row>
    <x:row r="25" ht="49" customHeight="1">
      <x:c r="A25" s="3" t="str">
        <x:v>Limit basis</x:v>
      </x:c>
      <x:c r="B25" s="3" t="str">
        <x:v>Adjusted allowable/WLL and matching demand basis; record raw rating and factors once</x:v>
      </x:c>
      <x:c r="C25" s="3" t="str">
        <x:v>Breaking/proof/yield values must not be pasted as working limits. Do not mix ASD and LRFD load/resistance bases.</x:v>
      </x:c>
    </x:row>
    <x:row r="26" ht="49" customHeight="1">
      <x:c r="A26" s="9" t="str">
        <x:v>Completion boundary</x:v>
      </x:c>
      <x:c r="B26" s="9" t="str">
        <x:v>Completing this workbook assembles a review package</x:v>
      </x:c>
      <x:c r="C26" s="9" t="str">
        <x:v>Closure status can become ready for separate release review; fabrication and tensioning remain NOT RELEASED.</x:v>
      </x:c>
    </x:row>
    <x:row r="27" ht="49" customHeight="1">
      <x:c r="A27" s="3" t="str">
        <x:v>Unchanged prerequisites</x:v>
      </x:c>
      <x:c r="B27" s="3" t="str">
        <x:v>Vessel fit, independent vessel supports, base reactions, stability, restraint, guards and acoustic/SPL plan</x:v>
      </x:c>
      <x:c r="C27" s="3" t="str">
        <x:v>These original Rev B rows are retained on Closure. The present calculations cannot close them by inference.</x:v>
      </x:c>
    </x:row>
    <x:row r="28" ht="49" customHeight="1">
      <x:c r="A28" s="9" t="str">
        <x:v>Change rule</x:v>
      </x:c>
      <x:c r="B28" s="9" t="str">
        <x:v>Any new stock, holes, joint architecture, string, scale, tuning or support geometry reopens review</x:v>
      </x:c>
      <x:c r="C28" s="9" t="str">
        <x:v>Never use a limit from a different load case or configuration ID.</x:v>
      </x:c>
    </x:row>
    <x:row r="29" ht="49" customHeight="1">
      <x:c r="A29" s="3" t="str">
        <x:v>Comparison rule</x:v>
      </x:c>
      <x:c r="B29" s="3" t="str">
        <x:v>Demand D and allowable C must have identical units, failure mode and load basis</x:v>
      </x:c>
      <x:c r="C29" s="3" t="str">
        <x:v>D/C is a comparison for the named check. Do not combine moments and forces using a single MIN capacity.</x:v>
      </x:c>
    </x:row>
    <x:row r="30" ht="49" customHeight="1">
      <x:c r="A30" s="9" t="str">
        <x:v>Evidence storage</x:v>
      </x:c>
      <x:c r="B30" s="9" t="str">
        <x:v>Use a stable filename, drawing revision or source URL in reference fields</x:v>
      </x:c>
      <x:c r="C30" s="9" t="str">
        <x:v>Dates are Excel dates. Enter 0 only where physically meaningful and explicitly measured or justified.</x:v>
      </x:c>
    </x:row>
    <x:row r="31" ht="49" customHeight="1">
      <x:c r="A31" s="3" t="str">
        <x:v>Planning floor/ceiling</x:v>
      </x:c>
      <x:c r="B31" s="3" t="str">
        <x:v>Speaking length: 28-36 in; spacing: 1.5-2.25 in; face clearance &gt;= 1.5 in</x:v>
      </x:c>
      <x:c r="C31" s="3" t="str">
        <x:v>Source geometry gates remain planning constraints; geometry compatibility is not structural approval.</x:v>
      </x:c>
    </x:row>
    <x:row r="32" ht="49" customHeight="1">
      <x:c r="A32" s="9" t="str">
        <x:v>Meaning of READY</x:v>
      </x:c>
      <x:c r="B32" s="9" t="str">
        <x:v>Required information is present for review, with recorded comparisons</x:v>
      </x:c>
      <x:c r="C32" s="9" t="str">
        <x:v>This is an administrative completeness aid, not a certified calculation or permission to load the assembly.</x:v>
      </x:c>
    </x:row>
  </x:sheetData>
  <x:mergeCells>
    <x:mergeCell ref="A1:C2"/>
    <x:mergeCell ref="A3:C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36" hidden="0" customWidth="1"/>
    <x:col min="3" max="3" width="16" hidden="0" customWidth="1"/>
    <x:col min="4" max="4" width="20" hidden="0" customWidth="1"/>
    <x:col min="5" max="5" width="12" hidden="0" customWidth="1"/>
    <x:col min="6" max="6" width="16" hidden="0" customWidth="1"/>
    <x:col min="7" max="7" width="18" hidden="0" customWidth="1"/>
    <x:col min="8" max="8" width="18" hidden="0" customWidth="1"/>
    <x:col min="9" max="9" width="19" hidden="0" customWidth="1"/>
    <x:col min="10" max="10" width="18" hidden="0" customWidth="1"/>
    <x:col min="11" max="11" width="12" hidden="0" customWidth="1"/>
  </x:cols>
  <x:sheetData>
    <x:row r="1" ht="28" customHeight="1">
      <x:c r="A1" s="5" t="str">
        <x:v>EX-B1 | Source arithmetic &amp; corrections</x:v>
      </x:c>
      <x:c r="B1" s="5" t="str">
        <x:v>EX-B1 | Source arithmetic &amp; corrections</x:v>
      </x:c>
      <x:c r="C1" s="5" t="str">
        <x:v>EX-B1 | Source arithmetic &amp; corrections</x:v>
      </x:c>
      <x:c r="D1" s="5" t="str">
        <x:v>EX-B1 | Source arithmetic &amp; corrections</x:v>
      </x:c>
      <x:c r="E1" s="5" t="str">
        <x:v>EX-B1 | Source arithmetic &amp; corrections</x:v>
      </x:c>
      <x:c r="F1" s="5" t="str">
        <x:v>EX-B1 | Source arithmetic &amp; corrections</x:v>
      </x:c>
      <x:c r="G1" s="5" t="str">
        <x:v>EX-B1 | Source arithmetic &amp; corrections</x:v>
      </x:c>
      <x:c r="H1" s="5" t="str">
        <x:v>EX-B1 | Source arithmetic &amp; corrections</x:v>
      </x:c>
      <x:c r="I1" s="5" t="str">
        <x:v>EX-B1 | Source arithmetic &amp; corrections</x:v>
      </x:c>
      <x:c r="J1" s="5" t="str">
        <x:v>EX-B1 | Source arithmetic &amp; corrections</x:v>
      </x:c>
      <x:c r="K1" s="5" t="str">
        <x:v>EX-B1 | Source arithmetic &amp; corrections</x:v>
      </x:c>
    </x:row>
    <x:row r="2" ht="28" customHeight="1">
      <x:c r="A2" s="5" t="str">
        <x:v>EX-B1 | Source arithmetic &amp; corrections</x:v>
      </x:c>
      <x:c r="B2" s="5" t="str">
        <x:v>EX-B1 | Source arithmetic &amp; corrections</x:v>
      </x:c>
      <x:c r="C2" s="5" t="str">
        <x:v>EX-B1 | Source arithmetic &amp; corrections</x:v>
      </x:c>
      <x:c r="D2" s="5" t="str">
        <x:v>EX-B1 | Source arithmetic &amp; corrections</x:v>
      </x:c>
      <x:c r="E2" s="5" t="str">
        <x:v>EX-B1 | Source arithmetic &amp; corrections</x:v>
      </x:c>
      <x:c r="F2" s="5" t="str">
        <x:v>EX-B1 | Source arithmetic &amp; corrections</x:v>
      </x:c>
      <x:c r="G2" s="5" t="str">
        <x:v>EX-B1 | Source arithmetic &amp; corrections</x:v>
      </x:c>
      <x:c r="H2" s="5" t="str">
        <x:v>EX-B1 | Source arithmetic &amp; corrections</x:v>
      </x:c>
      <x:c r="I2" s="5" t="str">
        <x:v>EX-B1 | Source arithmetic &amp; corrections</x:v>
      </x:c>
      <x:c r="J2" s="5" t="str">
        <x:v>EX-B1 | Source arithmetic &amp; corrections</x:v>
      </x:c>
      <x:c r="K2" s="5" t="str">
        <x:v>EX-B1 | Source arithmetic &amp; corrections</x:v>
      </x:c>
    </x:row>
    <x:row r="3" ht="43" customHeight="1">
      <x:c r="A3" s="6" t="str">
        <x:v>ARCHIVED PLANNING EXAMPLE ONLY. Product identities/unit weights have not been revalidated for actual purchased stock.</x:v>
      </x:c>
      <x:c r="B3" s="6" t="str">
        <x:v>ARCHIVED PLANNING EXAMPLE ONLY. Product identities/unit weights have not been revalidated for actual purchased stock.</x:v>
      </x:c>
      <x:c r="C3" s="6" t="str">
        <x:v>ARCHIVED PLANNING EXAMPLE ONLY. Product identities/unit weights have not been revalidated for actual purchased stock.</x:v>
      </x:c>
      <x:c r="D3" s="6" t="str">
        <x:v>ARCHIVED PLANNING EXAMPLE ONLY. Product identities/unit weights have not been revalidated for actual purchased stock.</x:v>
      </x:c>
      <x:c r="E3" s="6" t="str">
        <x:v>ARCHIVED PLANNING EXAMPLE ONLY. Product identities/unit weights have not been revalidated for actual purchased stock.</x:v>
      </x:c>
      <x:c r="F3" s="6" t="str">
        <x:v>ARCHIVED PLANNING EXAMPLE ONLY. Product identities/unit weights have not been revalidated for actual purchased stock.</x:v>
      </x:c>
      <x:c r="G3" s="6" t="str">
        <x:v>ARCHIVED PLANNING EXAMPLE ONLY. Product identities/unit weights have not been revalidated for actual purchased stock.</x:v>
      </x:c>
      <x:c r="H3" s="6" t="str">
        <x:v>ARCHIVED PLANNING EXAMPLE ONLY. Product identities/unit weights have not been revalidated for actual purchased stock.</x:v>
      </x:c>
      <x:c r="I3" s="6" t="str">
        <x:v>ARCHIVED PLANNING EXAMPLE ONLY. Product identities/unit weights have not been revalidated for actual purchased stock.</x:v>
      </x:c>
      <x:c r="J3" s="6" t="str">
        <x:v>ARCHIVED PLANNING EXAMPLE ONLY. Product identities/unit weights have not been revalidated for actual purchased stock.</x:v>
      </x:c>
      <x:c r="K3" s="6" t="str">
        <x:v>ARCHIVED PLANNING EXAMPLE ONLY. Product identities/unit weights have not been revalidated for actual purchased stock.</x:v>
      </x:c>
    </x:row>
    <x:row r="4" ht="28" customHeight="1">
      <x:c r="A4" s="3"/>
      <x:c r="B4" s="3"/>
      <x:c r="C4" s="3"/>
      <x:c r="D4" s="3"/>
      <x:c r="E4" s="3"/>
      <x:c r="F4" s="3"/>
      <x:c r="G4" s="3"/>
      <x:c r="H4" s="3"/>
      <x:c r="I4" s="3"/>
      <x:c r="J4" s="3"/>
      <x:c r="K4" s="3"/>
    </x:row>
    <x:row r="5" ht="36" customHeight="1">
      <x:c r="A5" s="8" t="str">
        <x:v>String</x:v>
      </x:c>
      <x:c r="B5" s="8" t="str">
        <x:v>Source product</x:v>
      </x:c>
      <x:c r="C5" s="8" t="str">
        <x:v>Source f (Hz)</x:v>
      </x:c>
      <x:c r="D5" s="8" t="str">
        <x:v>Source UW (lb/in)</x:v>
      </x:c>
      <x:c r="E5" s="8" t="str">
        <x:v>L (in)</x:v>
      </x:c>
      <x:c r="F5" s="8" t="str">
        <x:v>Source T (lbf)</x:v>
      </x:c>
      <x:c r="G5" s="8" t="str">
        <x:v>T from printed f</x:v>
      </x:c>
      <x:c r="H5" s="8" t="str">
        <x:v>Semitones vs A4</x:v>
      </x:c>
      <x:c r="I5" s="8" t="str">
        <x:v>f from A4=440</x:v>
      </x:c>
      <x:c r="J5" s="8" t="str">
        <x:v>T from tuning</x:v>
      </x:c>
      <x:c r="K5" s="8" t="str">
        <x:v>x (in)</x:v>
      </x:c>
    </x:row>
    <x:row r="6" ht="28" customHeight="1">
      <x:c r="A6" s="9" t="str">
        <x:v>A2</x:v>
      </x:c>
      <x:c r="B6" s="9" t="str">
        <x:v>NW026</x:v>
      </x:c>
      <x:c r="C6" s="9" t="n">
        <x:v>110</x:v>
      </x:c>
      <x:c r="D6" s="14" t="n">
        <x:v>0.00012671</x:v>
      </x:c>
      <x:c r="E6" s="9" t="n">
        <x:v>32</x:v>
      </x:c>
      <x:c r="F6" s="16" t="n">
        <x:v>16.25</x:v>
      </x:c>
      <x:c r="G6" s="16" t="n">
        <x:f>D6*(2*E6*C6)^2/'Guide'!$B$16</x:f>
        <x:v>16.252459461697725</x:v>
      </x:c>
      <x:c r="H6" s="16" t="n">
        <x:v>-24</x:v>
      </x:c>
      <x:c r="I6" s="16" t="n">
        <x:f>'Guide'!$B$18*2^(H6/'Guide'!$B$19)</x:f>
        <x:v>110</x:v>
      </x:c>
      <x:c r="J6" s="16" t="n">
        <x:f>D6*(2*E6*I6)^2/'Guide'!$B$16</x:f>
        <x:v>16.252459461697725</x:v>
      </x:c>
      <x:c r="K6" s="9" t="n">
        <x:v>-4</x:v>
      </x:c>
    </x:row>
    <x:row r="7" ht="28" customHeight="1">
      <x:c r="A7" s="3" t="str">
        <x:v>C3</x:v>
      </x:c>
      <x:c r="B7" s="3" t="str">
        <x:v>LE018 / PL018</x:v>
      </x:c>
      <x:c r="C7" s="3" t="n">
        <x:v>130.81</x:v>
      </x:c>
      <x:c r="D7" s="15" t="n">
        <x:v>0.00007177</x:v>
      </x:c>
      <x:c r="E7" s="3" t="n">
        <x:v>32</x:v>
      </x:c>
      <x:c r="F7" s="17" t="n">
        <x:v>13.02</x:v>
      </x:c>
      <x:c r="G7" s="17" t="n">
        <x:f>D7*(2*E7*C7)^2/'Guide'!$B$16</x:f>
        <x:v>13.018101932754952</x:v>
      </x:c>
      <x:c r="H7" s="17" t="n">
        <x:v>-21</x:v>
      </x:c>
      <x:c r="I7" s="17" t="n">
        <x:f>'Guide'!$B$18*2^(H7/'Guide'!$B$19)</x:f>
        <x:v>130.8127826502993</x:v>
      </x:c>
      <x:c r="J7" s="17" t="n">
        <x:f>D7*(2*E7*I7)^2/'Guide'!$B$16</x:f>
        <x:v>13.018655792712677</x:v>
      </x:c>
      <x:c r="K7" s="3" t="n">
        <x:v>-2</x:v>
      </x:c>
    </x:row>
    <x:row r="8" ht="28" customHeight="1">
      <x:c r="A8" s="9" t="str">
        <x:v>E3</x:v>
      </x:c>
      <x:c r="B8" s="9" t="str">
        <x:v>LE014 / PL014</x:v>
      </x:c>
      <x:c r="C8" s="9" t="n">
        <x:v>164.81</x:v>
      </x:c>
      <x:c r="D8" s="14" t="n">
        <x:v>0.00004342</x:v>
      </x:c>
      <x:c r="E8" s="9" t="n">
        <x:v>32</x:v>
      </x:c>
      <x:c r="F8" s="16" t="n">
        <x:v>12.5</x:v>
      </x:c>
      <x:c r="G8" s="16" t="n">
        <x:f>D8*(2*E8*C8)^2/'Guide'!$B$16</x:f>
        <x:v>12.502007874379794</x:v>
      </x:c>
      <x:c r="H8" s="16" t="n">
        <x:v>-17</x:v>
      </x:c>
      <x:c r="I8" s="16" t="n">
        <x:f>'Guide'!$B$18*2^(H8/'Guide'!$B$19)</x:f>
        <x:v>164.81377845643496</x:v>
      </x:c>
      <x:c r="J8" s="16" t="n">
        <x:f>D8*(2*E8*I8)^2/'Guide'!$B$16</x:f>
        <x:v>12.5025811264106</x:v>
      </x:c>
      <x:c r="K8" s="9" t="n">
        <x:v>0</x:v>
      </x:c>
    </x:row>
    <x:row r="9" ht="28" customHeight="1">
      <x:c r="A9" s="3" t="str">
        <x:v>G3</x:v>
      </x:c>
      <x:c r="B9" s="3" t="str">
        <x:v>LE012 / PL012</x:v>
      </x:c>
      <x:c r="C9" s="3" t="n">
        <x:v>195</x:v>
      </x:c>
      <x:c r="D9" s="15" t="n">
        <x:v>0.0000319</x:v>
      </x:c>
      <x:c r="E9" s="3" t="n">
        <x:v>32</x:v>
      </x:c>
      <x:c r="F9" s="17" t="n">
        <x:v>12.99</x:v>
      </x:c>
      <x:c r="G9" s="17" t="n">
        <x:f>D9*(2*E9*C9)^2/'Guide'!$B$16</x:f>
        <x:v>12.858275776397518</x:v>
      </x:c>
      <x:c r="H9" s="17" t="n">
        <x:v>-14</x:v>
      </x:c>
      <x:c r="I9" s="17" t="n">
        <x:f>'Guide'!$B$18*2^(H9/'Guide'!$B$19)</x:f>
        <x:v>195.99771799087463</x:v>
      </x:c>
      <x:c r="J9" s="17" t="n">
        <x:f>D9*(2*E9*I9)^2/'Guide'!$B$16</x:f>
        <x:v>12.990191188786465</x:v>
      </x:c>
      <x:c r="K9" s="3" t="n">
        <x:v>2</x:v>
      </x:c>
    </x:row>
    <x:row r="10" ht="28" customHeight="1">
      <x:c r="A10" s="9" t="str">
        <x:v>C4</x:v>
      </x:c>
      <x:c r="B10" s="9" t="str">
        <x:v>LE010 / PL010</x:v>
      </x:c>
      <x:c r="C10" s="9" t="n">
        <x:v>261.63</x:v>
      </x:c>
      <x:c r="D10" s="14" t="n">
        <x:v>0.00002215</x:v>
      </x:c>
      <x:c r="E10" s="9" t="n">
        <x:v>32</x:v>
      </x:c>
      <x:c r="F10" s="16" t="n">
        <x:v>16.07</x:v>
      </x:c>
      <x:c r="G10" s="16" t="n">
        <x:f>D10*(2*E10*C10)^2/'Guide'!$B$16</x:f>
        <x:v>16.072063632536643</x:v>
      </x:c>
      <x:c r="H10" s="16" t="n">
        <x:v>-9</x:v>
      </x:c>
      <x:c r="I10" s="16" t="n">
        <x:f>'Guide'!$B$18*2^(H10/'Guide'!$B$19)</x:f>
        <x:v>261.6255653005986</x:v>
      </x:c>
      <x:c r="J10" s="16" t="n">
        <x:f>D10*(2*E10*I10)^2/'Guide'!$B$16</x:f>
        <x:v>16.07151878548618</x:v>
      </x:c>
      <x:c r="K10" s="9" t="n">
        <x:v>4</x:v>
      </x:c>
    </x:row>
    <x:row r="11" ht="28" customHeight="1">
      <x:c r="A11" s="3"/>
      <x:c r="B11" s="3"/>
      <x:c r="C11" s="3"/>
      <x:c r="D11" s="3"/>
      <x:c r="E11" s="3"/>
      <x:c r="F11" s="17"/>
      <x:c r="G11" s="17"/>
      <x:c r="H11" s="17"/>
      <x:c r="I11" s="17"/>
      <x:c r="J11" s="17"/>
      <x:c r="K11" s="3"/>
    </x:row>
    <x:row r="12" ht="28" customHeight="1">
      <x:c r="A12" s="9" t="str">
        <x:v>TOTAL</x:v>
      </x:c>
      <x:c r="B12" s="9"/>
      <x:c r="C12" s="9"/>
      <x:c r="D12" s="9"/>
      <x:c r="E12" s="9"/>
      <x:c r="F12" s="16" t="n">
        <x:f>SUM(F6:F10)</x:f>
        <x:v>70.83</x:v>
      </x:c>
      <x:c r="G12" s="16" t="n">
        <x:f>SUM(G6:G10)</x:f>
        <x:v>70.70290867776663</x:v>
      </x:c>
      <x:c r="H12" s="16"/>
      <x:c r="I12" s="16"/>
      <x:c r="J12" s="16" t="n">
        <x:f>SUM(J6:J10)</x:f>
        <x:v>70.83540635509365</x:v>
      </x:c>
      <x:c r="K12" s="9"/>
    </x:row>
    <x:row r="13" ht="28" customHeight="1">
      <x:c r="A13" s="3"/>
      <x:c r="B13" s="3"/>
      <x:c r="C13" s="3"/>
      <x:c r="D13" s="3"/>
      <x:c r="E13" s="3"/>
      <x:c r="F13" s="3"/>
      <x:c r="G13" s="3"/>
      <x:c r="H13" s="3"/>
      <x:c r="I13" s="3"/>
      <x:c r="J13" s="3"/>
      <x:c r="K13" s="3"/>
    </x:row>
    <x:row r="14" ht="30" customHeight="1">
      <x:c r="A14" s="8" t="str">
        <x:v>Audit calculations - explicit source assumptions</x:v>
      </x:c>
      <x:c r="B14" s="8" t="str">
        <x:v>Audit calculations - explicit source assumptions</x:v>
      </x:c>
      <x:c r="C14" s="8" t="str">
        <x:v>Audit calculations - explicit source assumptions</x:v>
      </x:c>
      <x:c r="D14" s="8" t="str">
        <x:v>Audit calculations - explicit source assumptions</x:v>
      </x:c>
      <x:c r="E14" s="8" t="str">
        <x:v>Audit calculations - explicit source assumptions</x:v>
      </x:c>
      <x:c r="F14" s="8" t="str">
        <x:v>Audit calculations - explicit source assumptions</x:v>
      </x:c>
      <x:c r="G14" s="8" t="str">
        <x:v>Audit calculations - explicit source assumptions</x:v>
      </x:c>
      <x:c r="H14" s="8" t="str">
        <x:v>Audit calculations - explicit source assumptions</x:v>
      </x:c>
      <x:c r="I14" s="8" t="str">
        <x:v>Audit calculations - explicit source assumptions</x:v>
      </x:c>
      <x:c r="J14" s="8" t="str">
        <x:v>Audit calculations - explicit source assumptions</x:v>
      </x:c>
      <x:c r="K14" s="8" t="str">
        <x:v>Audit calculations - explicit source assumptions</x:v>
      </x:c>
    </x:row>
    <x:row r="15" ht="28" customHeight="1">
      <x:c r="A15" s="3" t="str">
        <x:v>Spine width b (in)</x:v>
      </x:c>
      <x:c r="B15" s="3"/>
      <x:c r="C15" s="3" t="n">
        <x:v>1.5</x:v>
      </x:c>
      <x:c r="D15" s="3" t="str">
        <x:v>Left support edge x (in)</x:v>
      </x:c>
      <x:c r="E15" s="3"/>
      <x:c r="F15" s="3" t="n">
        <x:f>-C15/2</x:f>
        <x:v>-0.75</x:v>
      </x:c>
      <x:c r="G15" s="3"/>
      <x:c r="H15" s="3"/>
      <x:c r="I15" s="3"/>
      <x:c r="J15" s="3"/>
      <x:c r="K15" s="3"/>
    </x:row>
    <x:row r="16" ht="28" customHeight="1">
      <x:c r="A16" s="9" t="str">
        <x:v>Left root M (lbf in)</x:v>
      </x:c>
      <x:c r="B16" s="9"/>
      <x:c r="C16" s="9" t="n">
        <x:f>F6*MAX($F$15-K6,0)+F7*MAX($F$15-K7,0)</x:f>
        <x:v>69.0875</x:v>
      </x:c>
      <x:c r="D16" s="9" t="str">
        <x:v>At centerline, left M</x:v>
      </x:c>
      <x:c r="E16" s="9"/>
      <x:c r="F16" s="9" t="n">
        <x:f>F6*ABS(K6)+F7*ABS(K7)</x:f>
        <x:v>91.03999999999999</x:v>
      </x:c>
      <x:c r="G16" s="9"/>
      <x:c r="H16" s="9"/>
      <x:c r="I16" s="9"/>
      <x:c r="J16" s="9"/>
      <x:c r="K16" s="9"/>
    </x:row>
    <x:row r="17" ht="28" customHeight="1">
      <x:c r="A17" s="3" t="str">
        <x:v>Source depth d (in)</x:v>
      </x:c>
      <x:c r="B17" s="3"/>
      <x:c r="C17" s="3" t="n">
        <x:v>2.5</x:v>
      </x:c>
      <x:c r="D17" s="3" t="str">
        <x:v>Kern threshold S/A (in)</x:v>
      </x:c>
      <x:c r="E17" s="3"/>
      <x:c r="F17" s="3" t="n">
        <x:f>C17/6</x:f>
        <x:v>0.4166666666666667</x:v>
      </x:c>
      <x:c r="G17" s="3"/>
      <x:c r="H17" s="3"/>
      <x:c r="I17" s="3"/>
      <x:c r="J17" s="3"/>
      <x:c r="K17" s="3"/>
    </x:row>
    <x:row r="18" ht="28" customHeight="1">
      <x:c r="A18" s="9" t="str">
        <x:v>Face gap c (in)</x:v>
      </x:c>
      <x:c r="B18" s="9"/>
      <x:c r="C18" s="9" t="n">
        <x:v>3</x:v>
      </x:c>
      <x:c r="D18" s="9" t="str">
        <x:v>String axis offset e (in)</x:v>
      </x:c>
      <x:c r="E18" s="9"/>
      <x:c r="F18" s="9" t="n">
        <x:f>C17/2+C18</x:f>
        <x:v>4.25</x:v>
      </x:c>
      <x:c r="G18" s="9"/>
      <x:c r="H18" s="9"/>
      <x:c r="I18" s="9"/>
      <x:c r="J18" s="9"/>
      <x:c r="K18" s="9"/>
    </x:row>
    <x:row r="19" ht="28" customHeight="1">
      <x:c r="A19" s="3" t="str">
        <x:v>100 lbf planning M</x:v>
      </x:c>
      <x:c r="B19" s="3"/>
      <x:c r="C19" s="3" t="n">
        <x:f>'Guide'!$B$15*F18</x:f>
        <x:v>425</x:v>
      </x:c>
      <x:c r="D19" s="3" t="str">
        <x:v>Units: lbf in; not a rating</x:v>
      </x:c>
      <x:c r="E19" s="3"/>
      <x:c r="F19" s="3"/>
      <x:c r="G19" s="3"/>
      <x:c r="H19" s="3"/>
      <x:c r="I19" s="3"/>
      <x:c r="J19" s="3"/>
      <x:c r="K19" s="3"/>
    </x:row>
    <x:row r="20" ht="28" customHeight="1">
      <x:c r="A20" s="9"/>
      <x:c r="B20" s="9"/>
      <x:c r="C20" s="9"/>
      <x:c r="D20" s="9"/>
      <x:c r="E20" s="9"/>
      <x:c r="F20" s="9"/>
      <x:c r="G20" s="9"/>
      <x:c r="H20" s="9"/>
      <x:c r="I20" s="9"/>
      <x:c r="J20" s="9"/>
      <x:c r="K20" s="9"/>
    </x:row>
    <x:row r="21" ht="30" customHeight="1">
      <x:c r="A21" s="8" t="str">
        <x:v>Corrections / qualification required before reuse</x:v>
      </x:c>
      <x:c r="B21" s="8" t="str">
        <x:v>Corrections / qualification required before reuse</x:v>
      </x:c>
      <x:c r="C21" s="8" t="str">
        <x:v>Corrections / qualification required before reuse</x:v>
      </x:c>
      <x:c r="D21" s="8" t="str">
        <x:v>Corrections / qualification required before reuse</x:v>
      </x:c>
      <x:c r="E21" s="8" t="str">
        <x:v>Corrections / qualification required before reuse</x:v>
      </x:c>
      <x:c r="F21" s="8" t="str">
        <x:v>Corrections / qualification required before reuse</x:v>
      </x:c>
      <x:c r="G21" s="8" t="str">
        <x:v>Corrections / qualification required before reuse</x:v>
      </x:c>
      <x:c r="H21" s="8" t="str">
        <x:v>Corrections / qualification required before reuse</x:v>
      </x:c>
      <x:c r="I21" s="8" t="str">
        <x:v>Corrections / qualification required before reuse</x:v>
      </x:c>
      <x:c r="J21" s="8" t="str">
        <x:v>Corrections / qualification required before reuse</x:v>
      </x:c>
      <x:c r="K21" s="8" t="str">
        <x:v>Corrections / qualification required before reuse</x:v>
      </x:c>
    </x:row>
    <x:row r="22" ht="47" customHeight="1">
      <x:c r="A22" s="9" t="str">
        <x:v>A01</x:v>
      </x:c>
      <x:c r="B22" s="9" t="str">
        <x:v>Pitch inconsistency</x:v>
      </x:c>
      <x:c r="C22" s="9" t="str">
        <x:v>Pitch inconsistency</x:v>
      </x:c>
      <x:c r="D22" s="9" t="str">
        <x:v>The source prints G3 = 195 Hz, but its 12.99 lbf row matches about 196 Hz. The columns above preserve both printed-input and A4=440-derived calculations. Actual tuning stays blank.</x:v>
      </x:c>
      <x:c r="E22" s="9" t="str">
        <x:v>The source prints G3 = 195 Hz, but its 12.99 lbf row matches about 196 Hz. The columns above preserve both printed-input and A4=440-derived calculations. Actual tuning stays blank.</x:v>
      </x:c>
      <x:c r="F22" s="9" t="str">
        <x:v>The source prints G3 = 195 Hz, but its 12.99 lbf row matches about 196 Hz. The columns above preserve both printed-input and A4=440-derived calculations. Actual tuning stays blank.</x:v>
      </x:c>
      <x:c r="G22" s="9" t="str">
        <x:v>The source prints G3 = 195 Hz, but its 12.99 lbf row matches about 196 Hz. The columns above preserve both printed-input and A4=440-derived calculations. Actual tuning stays blank.</x:v>
      </x:c>
      <x:c r="H22" s="9" t="str">
        <x:v>The source prints G3 = 195 Hz, but its 12.99 lbf row matches about 196 Hz. The columns above preserve both printed-input and A4=440-derived calculations. Actual tuning stays blank.</x:v>
      </x:c>
      <x:c r="I22" s="9" t="str">
        <x:v>The source prints G3 = 195 Hz, but its 12.99 lbf row matches about 196 Hz. The columns above preserve both printed-input and A4=440-derived calculations. Actual tuning stays blank.</x:v>
      </x:c>
      <x:c r="J22" s="9" t="str">
        <x:v>The source prints G3 = 195 Hz, but its 12.99 lbf row matches about 196 Hz. The columns above preserve both printed-input and A4=440-derived calculations. Actual tuning stays blank.</x:v>
      </x:c>
      <x:c r="K22" s="9" t="str">
        <x:v>The source prints G3 = 195 Hz, but its 12.99 lbf row matches about 196 Hz. The columns above preserve both printed-input and A4=440-derived calculations. Actual tuning stays blank.</x:v>
      </x:c>
    </x:row>
    <x:row r="23" ht="47" customHeight="1">
      <x:c r="A23" s="3" t="str">
        <x:v>A02</x:v>
      </x:c>
      <x:c r="B23" s="3" t="str">
        <x:v>Bar moment</x:v>
      </x:c>
      <x:c r="C23" s="3" t="str">
        <x:v>Bar moment</x:v>
      </x:c>
      <x:c r="D23" s="3" t="str">
        <x:v>At x = -0.75 in, the stated left forces give 16.25 x 3.25 + 13.02 x 1.25 = 69.0875 lbf in. About x = 0 they give 91.04. The source 113 is not reproduced by those assumptions.</x:v>
      </x:c>
      <x:c r="E23" s="3" t="str">
        <x:v>At x = -0.75 in, the stated left forces give 16.25 x 3.25 + 13.02 x 1.25 = 69.0875 lbf in. About x = 0 they give 91.04. The source 113 is not reproduced by those assumptions.</x:v>
      </x:c>
      <x:c r="F23" s="3" t="str">
        <x:v>At x = -0.75 in, the stated left forces give 16.25 x 3.25 + 13.02 x 1.25 = 69.0875 lbf in. About x = 0 they give 91.04. The source 113 is not reproduced by those assumptions.</x:v>
      </x:c>
      <x:c r="G23" s="3" t="str">
        <x:v>At x = -0.75 in, the stated left forces give 16.25 x 3.25 + 13.02 x 1.25 = 69.0875 lbf in. About x = 0 they give 91.04. The source 113 is not reproduced by those assumptions.</x:v>
      </x:c>
      <x:c r="H23" s="3" t="str">
        <x:v>At x = -0.75 in, the stated left forces give 16.25 x 3.25 + 13.02 x 1.25 = 69.0875 lbf in. About x = 0 they give 91.04. The source 113 is not reproduced by those assumptions.</x:v>
      </x:c>
      <x:c r="I23" s="3" t="str">
        <x:v>At x = -0.75 in, the stated left forces give 16.25 x 3.25 + 13.02 x 1.25 = 69.0875 lbf in. About x = 0 they give 91.04. The source 113 is not reproduced by those assumptions.</x:v>
      </x:c>
      <x:c r="J23" s="3" t="str">
        <x:v>At x = -0.75 in, the stated left forces give 16.25 x 3.25 + 13.02 x 1.25 = 69.0875 lbf in. About x = 0 they give 91.04. The source 113 is not reproduced by those assumptions.</x:v>
      </x:c>
      <x:c r="K23" s="3" t="str">
        <x:v>At x = -0.75 in, the stated left forces give 16.25 x 3.25 + 13.02 x 1.25 = 69.0875 lbf in. About x = 0 they give 91.04. The source 113 is not reproduced by those assumptions.</x:v>
      </x:c>
    </x:row>
    <x:row r="24" ht="47" customHeight="1">
      <x:c r="A24" s="9" t="str">
        <x:v>A03</x:v>
      </x:c>
      <x:c r="B24" s="9" t="str">
        <x:v>Kern threshold</x:v>
      </x:c>
      <x:c r="C24" s="9" t="str">
        <x:v>Kern threshold</x:v>
      </x:c>
      <x:c r="D24" s="9" t="str">
        <x:v>For a rectangular section S/A = d/6. The source d/2 is the centroid-to-face distance, not the eccentricity at which the opposite face first enters tension.</x:v>
      </x:c>
      <x:c r="E24" s="9" t="str">
        <x:v>For a rectangular section S/A = d/6. The source d/2 is the centroid-to-face distance, not the eccentricity at which the opposite face first enters tension.</x:v>
      </x:c>
      <x:c r="F24" s="9" t="str">
        <x:v>For a rectangular section S/A = d/6. The source d/2 is the centroid-to-face distance, not the eccentricity at which the opposite face first enters tension.</x:v>
      </x:c>
      <x:c r="G24" s="9" t="str">
        <x:v>For a rectangular section S/A = d/6. The source d/2 is the centroid-to-face distance, not the eccentricity at which the opposite face first enters tension.</x:v>
      </x:c>
      <x:c r="H24" s="9" t="str">
        <x:v>For a rectangular section S/A = d/6. The source d/2 is the centroid-to-face distance, not the eccentricity at which the opposite face first enters tension.</x:v>
      </x:c>
      <x:c r="I24" s="9" t="str">
        <x:v>For a rectangular section S/A = d/6. The source d/2 is the centroid-to-face distance, not the eccentricity at which the opposite face first enters tension.</x:v>
      </x:c>
      <x:c r="J24" s="9" t="str">
        <x:v>For a rectangular section S/A = d/6. The source d/2 is the centroid-to-face distance, not the eccentricity at which the opposite face first enters tension.</x:v>
      </x:c>
      <x:c r="K24" s="9" t="str">
        <x:v>For a rectangular section S/A = d/6. The source d/2 is the centroid-to-face distance, not the eccentricity at which the opposite face first enters tension.</x:v>
      </x:c>
    </x:row>
    <x:row r="25" ht="47" customHeight="1">
      <x:c r="A25" s="3" t="str">
        <x:v>A04</x:v>
      </x:c>
      <x:c r="B25" s="3" t="str">
        <x:v>Effective length</x:v>
      </x:c>
      <x:c r="C25" s="3" t="str">
        <x:v>Effective length</x:v>
      </x:c>
      <x:c r="D25" s="3" t="str">
        <x:v>Measure attachment separation and unsupported lengths independently. Speaking length is not automatically a buckling length; K depends on actual end restraint.</x:v>
      </x:c>
      <x:c r="E25" s="3" t="str">
        <x:v>Measure attachment separation and unsupported lengths independently. Speaking length is not automatically a buckling length; K depends on actual end restraint.</x:v>
      </x:c>
      <x:c r="F25" s="3" t="str">
        <x:v>Measure attachment separation and unsupported lengths independently. Speaking length is not automatically a buckling length; K depends on actual end restraint.</x:v>
      </x:c>
      <x:c r="G25" s="3" t="str">
        <x:v>Measure attachment separation and unsupported lengths independently. Speaking length is not automatically a buckling length; K depends on actual end restraint.</x:v>
      </x:c>
      <x:c r="H25" s="3" t="str">
        <x:v>Measure attachment separation and unsupported lengths independently. Speaking length is not automatically a buckling length; K depends on actual end restraint.</x:v>
      </x:c>
      <x:c r="I25" s="3" t="str">
        <x:v>Measure attachment separation and unsupported lengths independently. Speaking length is not automatically a buckling length; K depends on actual end restraint.</x:v>
      </x:c>
      <x:c r="J25" s="3" t="str">
        <x:v>Measure attachment separation and unsupported lengths independently. Speaking length is not automatically a buckling length; K depends on actual end restraint.</x:v>
      </x:c>
      <x:c r="K25" s="3" t="str">
        <x:v>Measure attachment separation and unsupported lengths independently. Speaking length is not automatically a buckling length; K depends on actual end restraint.</x:v>
      </x:c>
    </x:row>
    <x:row r="26" ht="47" customHeight="1">
      <x:c r="A26" s="9" t="str">
        <x:v>A05</x:v>
      </x:c>
      <x:c r="B26" s="9" t="str">
        <x:v>Net section</x:v>
      </x:c>
      <x:c r="C26" s="9" t="str">
        <x:v>Net section</x:v>
      </x:c>
      <x:c r="D26" s="9" t="str">
        <x:v>For an ideal centered 0.375 in through-hole across the full 2.5 in depth of a 1.5 in wide member, the worst axial cut has A = 2.8125 in2 and Sx = 1.171875 in3, a 25% reduction. Local effects still require review.</x:v>
      </x:c>
      <x:c r="E26" s="9" t="str">
        <x:v>For an ideal centered 0.375 in through-hole across the full 2.5 in depth of a 1.5 in wide member, the worst axial cut has A = 2.8125 in2 and Sx = 1.171875 in3, a 25% reduction. Local effects still require review.</x:v>
      </x:c>
      <x:c r="F26" s="9" t="str">
        <x:v>For an ideal centered 0.375 in through-hole across the full 2.5 in depth of a 1.5 in wide member, the worst axial cut has A = 2.8125 in2 and Sx = 1.171875 in3, a 25% reduction. Local effects still require review.</x:v>
      </x:c>
      <x:c r="G26" s="9" t="str">
        <x:v>For an ideal centered 0.375 in through-hole across the full 2.5 in depth of a 1.5 in wide member, the worst axial cut has A = 2.8125 in2 and Sx = 1.171875 in3, a 25% reduction. Local effects still require review.</x:v>
      </x:c>
      <x:c r="H26" s="9" t="str">
        <x:v>For an ideal centered 0.375 in through-hole across the full 2.5 in depth of a 1.5 in wide member, the worst axial cut has A = 2.8125 in2 and Sx = 1.171875 in3, a 25% reduction. Local effects still require review.</x:v>
      </x:c>
      <x:c r="I26" s="9" t="str">
        <x:v>For an ideal centered 0.375 in through-hole across the full 2.5 in depth of a 1.5 in wide member, the worst axial cut has A = 2.8125 in2 and Sx = 1.171875 in3, a 25% reduction. Local effects still require review.</x:v>
      </x:c>
      <x:c r="J26" s="9" t="str">
        <x:v>For an ideal centered 0.375 in through-hole across the full 2.5 in depth of a 1.5 in wide member, the worst axial cut has A = 2.8125 in2 and Sx = 1.171875 in3, a 25% reduction. Local effects still require review.</x:v>
      </x:c>
      <x:c r="K26" s="9" t="str">
        <x:v>For an ideal centered 0.375 in through-hole across the full 2.5 in depth of a 1.5 in wide member, the worst axial cut has A = 2.8125 in2 and Sx = 1.171875 in3, a 25% reduction. Local effects still require review.</x:v>
      </x:c>
    </x:row>
    <x:row r="27" ht="47" customHeight="1">
      <x:c r="A27" s="3" t="str">
        <x:v>A06</x:v>
      </x:c>
      <x:c r="B27" s="3" t="str">
        <x:v>Bolts and prying</x:v>
      </x:c>
      <x:c r="C27" s="3" t="str">
        <x:v>Bolts and prying</x:v>
      </x:c>
      <x:c r="D27" s="3" t="str">
        <x:v>M/h is a force couple for a declared tension/compression lever arm, not automatically the tension in every bolt and not a prying solution. Record contact, plate stiffness, Q, effective bolt counts and combined loading.</x:v>
      </x:c>
      <x:c r="E27" s="3" t="str">
        <x:v>M/h is a force couple for a declared tension/compression lever arm, not automatically the tension in every bolt and not a prying solution. Record contact, plate stiffness, Q, effective bolt counts and combined loading.</x:v>
      </x:c>
      <x:c r="F27" s="3" t="str">
        <x:v>M/h is a force couple for a declared tension/compression lever arm, not automatically the tension in every bolt and not a prying solution. Record contact, plate stiffness, Q, effective bolt counts and combined loading.</x:v>
      </x:c>
      <x:c r="G27" s="3" t="str">
        <x:v>M/h is a force couple for a declared tension/compression lever arm, not automatically the tension in every bolt and not a prying solution. Record contact, plate stiffness, Q, effective bolt counts and combined loading.</x:v>
      </x:c>
      <x:c r="H27" s="3" t="str">
        <x:v>M/h is a force couple for a declared tension/compression lever arm, not automatically the tension in every bolt and not a prying solution. Record contact, plate stiffness, Q, effective bolt counts and combined loading.</x:v>
      </x:c>
      <x:c r="I27" s="3" t="str">
        <x:v>M/h is a force couple for a declared tension/compression lever arm, not automatically the tension in every bolt and not a prying solution. Record contact, plate stiffness, Q, effective bolt counts and combined loading.</x:v>
      </x:c>
      <x:c r="J27" s="3" t="str">
        <x:v>M/h is a force couple for a declared tension/compression lever arm, not automatically the tension in every bolt and not a prying solution. Record contact, plate stiffness, Q, effective bolt counts and combined loading.</x:v>
      </x:c>
      <x:c r="K27" s="3" t="str">
        <x:v>M/h is a force couple for a declared tension/compression lever arm, not automatically the tension in every bolt and not a prying solution. Record contact, plate stiffness, Q, effective bolt counts and combined loading.</x:v>
      </x:c>
    </x:row>
    <x:row r="28" ht="47" customHeight="1">
      <x:c r="A28" s="9" t="str">
        <x:v>A07</x:v>
      </x:c>
      <x:c r="B28" s="9" t="str">
        <x:v>Dimensions and fit</x:v>
      </x:c>
      <x:c r="C28" s="9" t="str">
        <x:v>Dimensions and fit</x:v>
      </x:c>
      <x:c r="D28" s="9" t="str">
        <x:v>Bolts stacked along z use longitudinal height, not the spine depth y. If the same 1.5 in-high bar contains holes 1.5 in apart, no positive top/bottom center allowance remains. CX-1 needs a coherent dimensioned joint detail.</x:v>
      </x:c>
      <x:c r="E28" s="9" t="str">
        <x:v>Bolts stacked along z use longitudinal height, not the spine depth y. If the same 1.5 in-high bar contains holes 1.5 in apart, no positive top/bottom center allowance remains. CX-1 needs a coherent dimensioned joint detail.</x:v>
      </x:c>
      <x:c r="F28" s="9" t="str">
        <x:v>Bolts stacked along z use longitudinal height, not the spine depth y. If the same 1.5 in-high bar contains holes 1.5 in apart, no positive top/bottom center allowance remains. CX-1 needs a coherent dimensioned joint detail.</x:v>
      </x:c>
      <x:c r="G28" s="9" t="str">
        <x:v>Bolts stacked along z use longitudinal height, not the spine depth y. If the same 1.5 in-high bar contains holes 1.5 in apart, no positive top/bottom center allowance remains. CX-1 needs a coherent dimensioned joint detail.</x:v>
      </x:c>
      <x:c r="H28" s="9" t="str">
        <x:v>Bolts stacked along z use longitudinal height, not the spine depth y. If the same 1.5 in-high bar contains holes 1.5 in apart, no positive top/bottom center allowance remains. CX-1 needs a coherent dimensioned joint detail.</x:v>
      </x:c>
      <x:c r="I28" s="9" t="str">
        <x:v>Bolts stacked along z use longitudinal height, not the spine depth y. If the same 1.5 in-high bar contains holes 1.5 in apart, no positive top/bottom center allowance remains. CX-1 needs a coherent dimensioned joint detail.</x:v>
      </x:c>
      <x:c r="J28" s="9" t="str">
        <x:v>Bolts stacked along z use longitudinal height, not the spine depth y. If the same 1.5 in-high bar contains holes 1.5 in apart, no positive top/bottom center allowance remains. CX-1 needs a coherent dimensioned joint detail.</x:v>
      </x:c>
      <x:c r="K28" s="9" t="str">
        <x:v>Bolts stacked along z use longitudinal height, not the spine depth y. If the same 1.5 in-high bar contains holes 1.5 in apart, no positive top/bottom center allowance remains. CX-1 needs a coherent dimensioned joint detail.</x:v>
      </x:c>
    </x:row>
    <x:row r="29" ht="47" customHeight="1">
      <x:c r="A29" s="3" t="str">
        <x:v>A08</x:v>
      </x:c>
      <x:c r="B29" s="3" t="str">
        <x:v>Bar orientation / end margins</x:v>
      </x:c>
      <x:c r="C29" s="3" t="str">
        <x:v>Bar orientation / end margins</x:v>
      </x:c>
      <x:c r="D29" s="3" t="str">
        <x:v>Use actual bar By and Hz: Sy = By x Hz^2 / 6 for vertical loading of a bar spanning x. Bar length = end-hole span + two reviewed margins; an 11 in minimum or generic 2D rule is not established for all materials/modes.</x:v>
      </x:c>
      <x:c r="E29" s="3" t="str">
        <x:v>Use actual bar By and Hz: Sy = By x Hz^2 / 6 for vertical loading of a bar spanning x. Bar length = end-hole span + two reviewed margins; an 11 in minimum or generic 2D rule is not established for all materials/modes.</x:v>
      </x:c>
      <x:c r="F29" s="3" t="str">
        <x:v>Use actual bar By and Hz: Sy = By x Hz^2 / 6 for vertical loading of a bar spanning x. Bar length = end-hole span + two reviewed margins; an 11 in minimum or generic 2D rule is not established for all materials/modes.</x:v>
      </x:c>
      <x:c r="G29" s="3" t="str">
        <x:v>Use actual bar By and Hz: Sy = By x Hz^2 / 6 for vertical loading of a bar spanning x. Bar length = end-hole span + two reviewed margins; an 11 in minimum or generic 2D rule is not established for all materials/modes.</x:v>
      </x:c>
      <x:c r="H29" s="3" t="str">
        <x:v>Use actual bar By and Hz: Sy = By x Hz^2 / 6 for vertical loading of a bar spanning x. Bar length = end-hole span + two reviewed margins; an 11 in minimum or generic 2D rule is not established for all materials/modes.</x:v>
      </x:c>
      <x:c r="I29" s="3" t="str">
        <x:v>Use actual bar By and Hz: Sy = By x Hz^2 / 6 for vertical loading of a bar spanning x. Bar length = end-hole span + two reviewed margins; an 11 in minimum or generic 2D rule is not established for all materials/modes.</x:v>
      </x:c>
      <x:c r="J29" s="3" t="str">
        <x:v>Use actual bar By and Hz: Sy = By x Hz^2 / 6 for vertical loading of a bar spanning x. Bar length = end-hole span + two reviewed margins; an 11 in minimum or generic 2D rule is not established for all materials/modes.</x:v>
      </x:c>
      <x:c r="K29" s="3" t="str">
        <x:v>Use actual bar By and Hz: Sy = By x Hz^2 / 6 for vertical loading of a bar spanning x. Bar length = end-hole span + two reviewed margins; an 11 in minimum or generic 2D rule is not established for all materials/modes.</x:v>
      </x:c>
    </x:row>
    <x:row r="30" ht="47" customHeight="1">
      <x:c r="A30" s="9" t="str">
        <x:v>A09</x:v>
      </x:c>
      <x:c r="B30" s="9" t="str">
        <x:v>Capacity claims</x:v>
      </x:c>
      <x:c r="C30" s="9" t="str">
        <x:v>Capacity claims</x:v>
      </x:c>
      <x:c r="D30" s="9" t="str">
        <x:v>Clear-wood ultimate averages, yield fractions, approximate bolt capacities and the claimed failure ranking are not verified build capacities. A36, 304, brass, grade marks, species and condition require their own documented basis.</x:v>
      </x:c>
      <x:c r="E30" s="9" t="str">
        <x:v>Clear-wood ultimate averages, yield fractions, approximate bolt capacities and the claimed failure ranking are not verified build capacities. A36, 304, brass, grade marks, species and condition require their own documented basis.</x:v>
      </x:c>
      <x:c r="F30" s="9" t="str">
        <x:v>Clear-wood ultimate averages, yield fractions, approximate bolt capacities and the claimed failure ranking are not verified build capacities. A36, 304, brass, grade marks, species and condition require their own documented basis.</x:v>
      </x:c>
      <x:c r="G30" s="9" t="str">
        <x:v>Clear-wood ultimate averages, yield fractions, approximate bolt capacities and the claimed failure ranking are not verified build capacities. A36, 304, brass, grade marks, species and condition require their own documented basis.</x:v>
      </x:c>
      <x:c r="H30" s="9" t="str">
        <x:v>Clear-wood ultimate averages, yield fractions, approximate bolt capacities and the claimed failure ranking are not verified build capacities. A36, 304, brass, grade marks, species and condition require their own documented basis.</x:v>
      </x:c>
      <x:c r="I30" s="9" t="str">
        <x:v>Clear-wood ultimate averages, yield fractions, approximate bolt capacities and the claimed failure ranking are not verified build capacities. A36, 304, brass, grade marks, species and condition require their own documented basis.</x:v>
      </x:c>
      <x:c r="J30" s="9" t="str">
        <x:v>Clear-wood ultimate averages, yield fractions, approximate bolt capacities and the claimed failure ranking are not verified build capacities. A36, 304, brass, grade marks, species and condition require their own documented basis.</x:v>
      </x:c>
      <x:c r="K30" s="9" t="str">
        <x:v>Clear-wood ultimate averages, yield fractions, approximate bolt capacities and the claimed failure ranking are not verified build capacities. A36, 304, brass, grade marks, species and condition require their own documented basis.</x:v>
      </x:c>
    </x:row>
    <x:row r="31" ht="47" customHeight="1">
      <x:c r="A31" s="3" t="str">
        <x:v>A10</x:v>
      </x:c>
      <x:c r="B31" s="3" t="str">
        <x:v>Load path</x:v>
      </x:c>
      <x:c r="C31" s="3" t="str">
        <x:v>Load path</x:v>
      </x:c>
      <x:c r="D31" s="3" t="str">
        <x:v>Do not reduce the string-plane eccentricity to the spine face without accounting for the omitted couple. Use joint-specific reference axes; upper tuner/head-block and lower hitch paths need separate free bodies.</x:v>
      </x:c>
      <x:c r="E31" s="3" t="str">
        <x:v>Do not reduce the string-plane eccentricity to the spine face without accounting for the omitted couple. Use joint-specific reference axes; upper tuner/head-block and lower hitch paths need separate free bodies.</x:v>
      </x:c>
      <x:c r="F31" s="3" t="str">
        <x:v>Do not reduce the string-plane eccentricity to the spine face without accounting for the omitted couple. Use joint-specific reference axes; upper tuner/head-block and lower hitch paths need separate free bodies.</x:v>
      </x:c>
      <x:c r="G31" s="3" t="str">
        <x:v>Do not reduce the string-plane eccentricity to the spine face without accounting for the omitted couple. Use joint-specific reference axes; upper tuner/head-block and lower hitch paths need separate free bodies.</x:v>
      </x:c>
      <x:c r="H31" s="3" t="str">
        <x:v>Do not reduce the string-plane eccentricity to the spine face without accounting for the omitted couple. Use joint-specific reference axes; upper tuner/head-block and lower hitch paths need separate free bodies.</x:v>
      </x:c>
      <x:c r="I31" s="3" t="str">
        <x:v>Do not reduce the string-plane eccentricity to the spine face without accounting for the omitted couple. Use joint-specific reference axes; upper tuner/head-block and lower hitch paths need separate free bodies.</x:v>
      </x:c>
      <x:c r="J31" s="3" t="str">
        <x:v>Do not reduce the string-plane eccentricity to the spine face without accounting for the omitted couple. Use joint-specific reference axes; upper tuner/head-block and lower hitch paths need separate free bodies.</x:v>
      </x:c>
      <x:c r="K31" s="3" t="str">
        <x:v>Do not reduce the string-plane eccentricity to the spine face without accounting for the omitted couple. Use joint-specific reference axes; upper tuner/head-block and lower hitch paths need separate free bodies.</x:v>
      </x:c>
    </x:row>
    <x:row r="32" ht="47" customHeight="1">
      <x:c r="A32" s="9" t="str">
        <x:v>A11</x:v>
      </x:c>
      <x:c r="B32" s="9" t="str">
        <x:v>Source verification</x:v>
      </x:c>
      <x:c r="C32" s="9" t="str">
        <x:v>Source verification</x:v>
      </x:c>
      <x:c r="D32" s="9" t="str">
        <x:v>The current D'Addario formula was verified. The legacy unit-weight booklet endpoint did not yield the booklet; the five UW values remain inherited planning inputs, not current manufacturer confirmation.</x:v>
      </x:c>
      <x:c r="E32" s="9" t="str">
        <x:v>The current D'Addario formula was verified. The legacy unit-weight booklet endpoint did not yield the booklet; the five UW values remain inherited planning inputs, not current manufacturer confirmation.</x:v>
      </x:c>
      <x:c r="F32" s="9" t="str">
        <x:v>The current D'Addario formula was verified. The legacy unit-weight booklet endpoint did not yield the booklet; the five UW values remain inherited planning inputs, not current manufacturer confirmation.</x:v>
      </x:c>
      <x:c r="G32" s="9" t="str">
        <x:v>The current D'Addario formula was verified. The legacy unit-weight booklet endpoint did not yield the booklet; the five UW values remain inherited planning inputs, not current manufacturer confirmation.</x:v>
      </x:c>
      <x:c r="H32" s="9" t="str">
        <x:v>The current D'Addario formula was verified. The legacy unit-weight booklet endpoint did not yield the booklet; the five UW values remain inherited planning inputs, not current manufacturer confirmation.</x:v>
      </x:c>
      <x:c r="I32" s="9" t="str">
        <x:v>The current D'Addario formula was verified. The legacy unit-weight booklet endpoint did not yield the booklet; the five UW values remain inherited planning inputs, not current manufacturer confirmation.</x:v>
      </x:c>
      <x:c r="J32" s="9" t="str">
        <x:v>The current D'Addario formula was verified. The legacy unit-weight booklet endpoint did not yield the booklet; the five UW values remain inherited planning inputs, not current manufacturer confirmation.</x:v>
      </x:c>
      <x:c r="K32" s="9" t="str">
        <x:v>The current D'Addario formula was verified. The legacy unit-weight booklet endpoint did not yield the booklet; the five UW values remain inherited planning inputs, not current manufacturer confirmation.</x:v>
      </x:c>
    </x:row>
    <x:row r="33" ht="47" customHeight="1">
      <x:c r="A33" s="3" t="str">
        <x:v>A12</x:v>
      </x:c>
      <x:c r="B33" s="3" t="str">
        <x:v>Model limit</x:v>
      </x:c>
      <x:c r="C33" s="3" t="str">
        <x:v>Model limit</x:v>
      </x:c>
      <x:c r="D33" s="3" t="str">
        <x:v>The static case table does not establish dynamic, fatigue, creep or load-test capacity. The 30-minute observation in Rev B remains a later reviewed operating observation, never a proof-load rating.</x:v>
      </x:c>
      <x:c r="E33" s="3" t="str">
        <x:v>The static case table does not establish dynamic, fatigue, creep or load-test capacity. The 30-minute observation in Rev B remains a later reviewed operating observation, never a proof-load rating.</x:v>
      </x:c>
      <x:c r="F33" s="3" t="str">
        <x:v>The static case table does not establish dynamic, fatigue, creep or load-test capacity. The 30-minute observation in Rev B remains a later reviewed operating observation, never a proof-load rating.</x:v>
      </x:c>
      <x:c r="G33" s="3" t="str">
        <x:v>The static case table does not establish dynamic, fatigue, creep or load-test capacity. The 30-minute observation in Rev B remains a later reviewed operating observation, never a proof-load rating.</x:v>
      </x:c>
      <x:c r="H33" s="3" t="str">
        <x:v>The static case table does not establish dynamic, fatigue, creep or load-test capacity. The 30-minute observation in Rev B remains a later reviewed operating observation, never a proof-load rating.</x:v>
      </x:c>
      <x:c r="I33" s="3" t="str">
        <x:v>The static case table does not establish dynamic, fatigue, creep or load-test capacity. The 30-minute observation in Rev B remains a later reviewed operating observation, never a proof-load rating.</x:v>
      </x:c>
      <x:c r="J33" s="3" t="str">
        <x:v>The static case table does not establish dynamic, fatigue, creep or load-test capacity. The 30-minute observation in Rev B remains a later reviewed operating observation, never a proof-load rating.</x:v>
      </x:c>
      <x:c r="K33" s="3" t="str">
        <x:v>The static case table does not establish dynamic, fatigue, creep or load-test capacity. The 30-minute observation in Rev B remains a later reviewed operating observation, never a proof-load rating.</x:v>
      </x:c>
    </x:row>
    <x:row r="34" ht="28" customHeight="1">
      <x:c r="A34" s="9"/>
      <x:c r="B34" s="9"/>
      <x:c r="C34" s="9"/>
      <x:c r="D34" s="9"/>
      <x:c r="E34" s="9"/>
      <x:c r="F34" s="9"/>
      <x:c r="G34" s="9"/>
      <x:c r="H34" s="9"/>
      <x:c r="I34" s="9"/>
      <x:c r="J34" s="9"/>
      <x:c r="K34" s="9"/>
    </x:row>
    <x:row r="35" ht="28" customHeight="1">
      <x:c r="A35" s="3"/>
      <x:c r="B35" s="3"/>
      <x:c r="C35" s="3"/>
      <x:c r="D35" s="3"/>
      <x:c r="E35" s="3"/>
      <x:c r="F35" s="3"/>
      <x:c r="G35" s="3"/>
      <x:c r="H35" s="3"/>
      <x:c r="I35" s="3"/>
      <x:c r="J35" s="3"/>
      <x:c r="K35" s="3"/>
    </x:row>
  </x:sheetData>
  <x:mergeCells>
    <x:mergeCell ref="A1:K2"/>
    <x:mergeCell ref="A3:K3"/>
    <x:mergeCell ref="A14:K14"/>
    <x:mergeCell ref="A21:K21"/>
    <x:mergeCell ref="B22:C22"/>
    <x:mergeCell ref="D22:K22"/>
    <x:mergeCell ref="B23:C23"/>
    <x:mergeCell ref="D23:K23"/>
    <x:mergeCell ref="B24:C24"/>
    <x:mergeCell ref="D24:K24"/>
    <x:mergeCell ref="B25:C25"/>
    <x:mergeCell ref="D25:K25"/>
    <x:mergeCell ref="B26:C26"/>
    <x:mergeCell ref="D26:K26"/>
    <x:mergeCell ref="B27:C27"/>
    <x:mergeCell ref="D27:K27"/>
    <x:mergeCell ref="B28:C28"/>
    <x:mergeCell ref="D28:K28"/>
    <x:mergeCell ref="B29:C29"/>
    <x:mergeCell ref="D29:K29"/>
    <x:mergeCell ref="B30:C30"/>
    <x:mergeCell ref="D30:K30"/>
    <x:mergeCell ref="B31:C31"/>
    <x:mergeCell ref="D31:K31"/>
    <x:mergeCell ref="B32:C32"/>
    <x:mergeCell ref="D32:K32"/>
    <x:mergeCell ref="B33:C33"/>
    <x:mergeCell ref="D33:K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49" hidden="0" customWidth="1"/>
    <x:col min="3" max="3" width="25" hidden="0" customWidth="1"/>
    <x:col min="4" max="4" width="12" hidden="0" customWidth="1"/>
    <x:col min="5" max="5" width="54" hidden="0" customWidth="1"/>
    <x:col min="6" max="6" width="64" hidden="0" customWidth="1"/>
  </x:cols>
  <x:sheetData>
    <x:row r="1" ht="28" customHeight="1">
      <x:c r="A1" s="5" t="str">
        <x:v>Actual spine | Stock &amp; section record</x:v>
      </x:c>
      <x:c r="B1" s="5" t="str">
        <x:v>Actual spine | Stock &amp; section record</x:v>
      </x:c>
      <x:c r="C1" s="5" t="str">
        <x:v>Actual spine | Stock &amp; section record</x:v>
      </x:c>
      <x:c r="D1" s="5" t="str">
        <x:v>Actual spine | Stock &amp; section record</x:v>
      </x:c>
      <x:c r="E1" s="5" t="str">
        <x:v>Actual spine | Stock &amp; section record</x:v>
      </x:c>
      <x:c r="F1" s="5" t="str">
        <x:v>Actual spine | Stock &amp; section record</x:v>
      </x:c>
    </x:row>
    <x:row r="2" ht="28" customHeight="1">
      <x:c r="A2" s="5" t="str">
        <x:v>Actual spine | Stock &amp; section record</x:v>
      </x:c>
      <x:c r="B2" s="5" t="str">
        <x:v>Actual spine | Stock &amp; section record</x:v>
      </x:c>
      <x:c r="C2" s="5" t="str">
        <x:v>Actual spine | Stock &amp; section record</x:v>
      </x:c>
      <x:c r="D2" s="5" t="str">
        <x:v>Actual spine | Stock &amp; section record</x:v>
      </x:c>
      <x:c r="E2" s="5" t="str">
        <x:v>Actual spine | Stock &amp; section record</x:v>
      </x:c>
      <x:c r="F2" s="5" t="str">
        <x:v>Actual spine | Stock &amp; section record</x:v>
      </x:c>
    </x:row>
    <x:row r="3" ht="43" customHeight="1">
      <x:c r="A3" s="6" t="str">
        <x:v>Enter actual measurements and traceable selected properties. All values are deliberately blank.</x:v>
      </x:c>
      <x:c r="B3" s="6" t="str">
        <x:v>Enter actual measurements and traceable selected properties. All values are deliberately blank.</x:v>
      </x:c>
      <x:c r="C3" s="6" t="str">
        <x:v>Enter actual measurements and traceable selected properties. All values are deliberately blank.</x:v>
      </x:c>
      <x:c r="D3" s="6" t="str">
        <x:v>Enter actual measurements and traceable selected properties. All values are deliberately blank.</x:v>
      </x:c>
      <x:c r="E3" s="6" t="str">
        <x:v>Enter actual measurements and traceable selected properties. All values are deliberately blank.</x:v>
      </x:c>
      <x:c r="F3" s="6" t="str">
        <x:v>Enter actual measurements and traceable selected properties. All values are deliberately blank.</x:v>
      </x:c>
    </x:row>
    <x:row r="4" ht="28" customHeight="1">
      <x:c r="A4" s="3"/>
      <x:c r="B4" s="3"/>
      <x:c r="C4" s="3"/>
      <x:c r="D4" s="3"/>
      <x:c r="E4" s="3"/>
      <x:c r="F4" s="3"/>
    </x:row>
    <x:row r="5" ht="36" customHeight="1">
      <x:c r="A5" s="8" t="str">
        <x:v>Field ID</x:v>
      </x:c>
      <x:c r="B5" s="8" t="str">
        <x:v>Measurement / selected input</x:v>
      </x:c>
      <x:c r="C5" s="8" t="str">
        <x:v>Value</x:v>
      </x:c>
      <x:c r="D5" s="8" t="str">
        <x:v>Unit</x:v>
      </x:c>
      <x:c r="E5" s="8" t="str">
        <x:v>Evidence / method / uncertainty</x:v>
      </x:c>
      <x:c r="F5" s="8" t="str">
        <x:v>Field instruction</x:v>
      </x:c>
    </x:row>
    <x:row r="6" ht="43" customHeight="1">
      <x:c r="A6" s="9" t="str">
        <x:v>M01</x:v>
      </x:c>
      <x:c r="B6" s="9" t="str">
        <x:v>Actual configuration / drawing revision</x:v>
      </x:c>
      <x:c r="C6" s="19"/>
      <x:c r="D6" s="9" t="str">
        <x:v>text</x:v>
      </x:c>
      <x:c r="E6" s="19"/>
      <x:c r="F6" s="9" t="str">
        <x:v>Tie every material, load and limit to this revision.</x:v>
      </x:c>
    </x:row>
    <x:row r="7" ht="43" customHeight="1">
      <x:c r="A7" s="3" t="str">
        <x:v>M02</x:v>
      </x:c>
      <x:c r="B7" s="3" t="str">
        <x:v>Measurement recorder</x:v>
      </x:c>
      <x:c r="C7" s="19"/>
      <x:c r="D7" s="3" t="str">
        <x:v>text</x:v>
      </x:c>
      <x:c r="E7" s="19"/>
      <x:c r="F7" s="3" t="str">
        <x:v>Record who took the nonloaded measurements.</x:v>
      </x:c>
    </x:row>
    <x:row r="8" ht="43" customHeight="1">
      <x:c r="A8" s="9" t="str">
        <x:v>M03</x:v>
      </x:c>
      <x:c r="B8" s="9" t="str">
        <x:v>Spine specimen / stock ID</x:v>
      </x:c>
      <x:c r="C8" s="19"/>
      <x:c r="D8" s="9" t="str">
        <x:v>text</x:v>
      </x:c>
      <x:c r="E8" s="19"/>
      <x:c r="F8" s="9" t="str">
        <x:v>Tag the physical member; retain supplier receipt/lot.</x:v>
      </x:c>
    </x:row>
    <x:row r="9" ht="43" customHeight="1">
      <x:c r="A9" s="3" t="str">
        <x:v>M04</x:v>
      </x:c>
      <x:c r="B9" s="3" t="str">
        <x:v>Species</x:v>
      </x:c>
      <x:c r="C9" s="19"/>
      <x:c r="D9" s="3" t="str">
        <x:v>text</x:v>
      </x:c>
      <x:c r="E9" s="19"/>
      <x:c r="F9" s="3" t="str">
        <x:v>Identify actual species; do not transfer hard-maple properties to ash/red maple.</x:v>
      </x:c>
    </x:row>
    <x:row r="10" ht="43" customHeight="1">
      <x:c r="A10" s="9" t="str">
        <x:v>M05</x:v>
      </x:c>
      <x:c r="B10" s="9" t="str">
        <x:v>Grade or approved ungraded-member basis</x:v>
      </x:c>
      <x:c r="C10" s="19"/>
      <x:c r="D10" s="9" t="str">
        <x:v>text</x:v>
      </x:c>
      <x:c r="E10" s="19"/>
      <x:c r="F10" s="9" t="str">
        <x:v>Grade evidence or a documented alternative design-property review.</x:v>
      </x:c>
    </x:row>
    <x:row r="11" ht="43" customHeight="1">
      <x:c r="A11" s="3" t="str">
        <x:v>M06</x:v>
      </x:c>
      <x:c r="B11" s="3" t="str">
        <x:v>Orientation / axes photo or drawing ID</x:v>
      </x:c>
      <x:c r="C11" s="19"/>
      <x:c r="D11" s="3" t="str">
        <x:v>text</x:v>
      </x:c>
      <x:c r="E11" s="19"/>
      <x:c r="F11" s="3" t="str">
        <x:v>Mark front face; x across width; y depth toward strings; z along grain.</x:v>
      </x:c>
    </x:row>
    <x:row r="12" ht="43" customHeight="1">
      <x:c r="A12" s="9" t="str">
        <x:v>M07</x:v>
      </x:c>
      <x:c r="B12" s="9" t="str">
        <x:v>Actual minimum width b across x</x:v>
      </x:c>
      <x:c r="C12" s="20"/>
      <x:c r="D12" s="9" t="str">
        <x:v>in</x:v>
      </x:c>
      <x:c r="E12" s="19"/>
      <x:c r="F12" s="9" t="str">
        <x:v>Measure upper joint, mid-span and lower joint; record readings and uncertainty.</x:v>
      </x:c>
    </x:row>
    <x:row r="13" ht="43" customHeight="1">
      <x:c r="A13" s="3" t="str">
        <x:v>M08</x:v>
      </x:c>
      <x:c r="B13" s="3" t="str">
        <x:v>Actual minimum depth d toward strings</x:v>
      </x:c>
      <x:c r="C13" s="20"/>
      <x:c r="D13" s="3" t="str">
        <x:v>in</x:v>
      </x:c>
      <x:c r="E13" s="19"/>
      <x:c r="F13" s="3" t="str">
        <x:v>Measure actual stock; do not substitute nominal 2 x 3.</x:v>
      </x:c>
    </x:row>
    <x:row r="14" ht="43" customHeight="1">
      <x:c r="A14" s="9" t="str">
        <x:v>M09</x:v>
      </x:c>
      <x:c r="B14" s="9" t="str">
        <x:v>Overall actual spine length</x:v>
      </x:c>
      <x:c r="C14" s="20"/>
      <x:c r="D14" s="9" t="str">
        <x:v>in</x:v>
      </x:c>
      <x:c r="E14" s="19"/>
      <x:c r="F14" s="9" t="str">
        <x:v>Physical stock dimension, not speaking length.</x:v>
      </x:c>
    </x:row>
    <x:row r="15" ht="43" customHeight="1">
      <x:c r="A15" s="3" t="str">
        <x:v>M10</x:v>
      </x:c>
      <x:c r="B15" s="3" t="str">
        <x:v>Upper load-transfer reference z</x:v>
      </x:c>
      <x:c r="C15" s="20"/>
      <x:c r="D15" s="3" t="str">
        <x:v>in</x:v>
      </x:c>
      <x:c r="E15" s="19"/>
      <x:c r="F15" s="3" t="str">
        <x:v>From the marked z datum; attach dimensioned end detail.</x:v>
      </x:c>
    </x:row>
    <x:row r="16" ht="43" customHeight="1">
      <x:c r="A16" s="9" t="str">
        <x:v>M11</x:v>
      </x:c>
      <x:c r="B16" s="9" t="str">
        <x:v>Lower load-transfer reference z</x:v>
      </x:c>
      <x:c r="C16" s="20"/>
      <x:c r="D16" s="9" t="str">
        <x:v>in</x:v>
      </x:c>
      <x:c r="E16" s="19"/>
      <x:c r="F16" s="9" t="str">
        <x:v>Use same z datum; upper must be higher.</x:v>
      </x:c>
    </x:row>
    <x:row r="17" ht="43" customHeight="1">
      <x:c r="A17" s="3" t="str">
        <x:v>M12</x:v>
      </x:c>
      <x:c r="B17" s="3" t="str">
        <x:v>Unsupported length for bending about x</x:v>
      </x:c>
      <x:c r="C17" s="20"/>
      <x:c r="D17" s="3" t="str">
        <x:v>in</x:v>
      </x:c>
      <x:c r="E17" s="19"/>
      <x:c r="F17" s="3" t="str">
        <x:v>No vessel bracing credited. Include actual restraints.</x:v>
      </x:c>
    </x:row>
    <x:row r="18" ht="43" customHeight="1">
      <x:c r="A18" s="9" t="str">
        <x:v>M13</x:v>
      </x:c>
      <x:c r="B18" s="9" t="str">
        <x:v>Unsupported length for bending about y</x:v>
      </x:c>
      <x:c r="C18" s="20"/>
      <x:c r="D18" s="9" t="str">
        <x:v>in</x:v>
      </x:c>
      <x:c r="E18" s="19"/>
      <x:c r="F18" s="9" t="str">
        <x:v>Treat the second axis separately.</x:v>
      </x:c>
    </x:row>
    <x:row r="19" ht="43" customHeight="1">
      <x:c r="A19" s="3" t="str">
        <x:v>M14</x:v>
      </x:c>
      <x:c r="B19" s="3" t="str">
        <x:v>Effective length factor Kx</x:v>
      </x:c>
      <x:c r="C19" s="20"/>
      <x:c r="D19" s="3" t="str">
        <x:v>ratio</x:v>
      </x:c>
      <x:c r="E19" s="19"/>
      <x:c r="F19" s="3" t="str">
        <x:v>Reviewer-selected from actual end restraint; no default 1.0.</x:v>
      </x:c>
    </x:row>
    <x:row r="20" ht="43" customHeight="1">
      <x:c r="A20" s="9" t="str">
        <x:v>M15</x:v>
      </x:c>
      <x:c r="B20" s="9" t="str">
        <x:v>Effective length factor Ky</x:v>
      </x:c>
      <x:c r="C20" s="20"/>
      <x:c r="D20" s="9" t="str">
        <x:v>ratio</x:v>
      </x:c>
      <x:c r="E20" s="19"/>
      <x:c r="F20" s="9" t="str">
        <x:v>Reviewer-selected; not inferred from speaking length.</x:v>
      </x:c>
    </x:row>
    <x:row r="21" ht="43" customHeight="1">
      <x:c r="A21" s="3" t="str">
        <x:v>M16</x:v>
      </x:c>
      <x:c r="B21" s="3" t="str">
        <x:v>Reviewed elastic modulus E for deflection</x:v>
      </x:c>
      <x:c r="C21" s="20"/>
      <x:c r="D21" s="3" t="str">
        <x:v>psi</x:v>
      </x:c>
      <x:c r="E21" s="19"/>
      <x:c r="F21" s="3" t="str">
        <x:v>Document species/grade, moisture, duration and adopted basis.</x:v>
      </x:c>
    </x:row>
    <x:row r="22" ht="43" customHeight="1">
      <x:c r="A22" s="9" t="str">
        <x:v>M17</x:v>
      </x:c>
      <x:c r="B22" s="9" t="str">
        <x:v>Reviewed stability modulus E_min</x:v>
      </x:c>
      <x:c r="C22" s="20"/>
      <x:c r="D22" s="9" t="str">
        <x:v>psi</x:v>
      </x:c>
      <x:c r="E22" s="19"/>
      <x:c r="F22" s="9" t="str">
        <x:v>For diagnostic Euler calculation only; record the actual design basis.</x:v>
      </x:c>
    </x:row>
    <x:row r="23" ht="43" customHeight="1">
      <x:c r="A23" s="3" t="str">
        <x:v>M18</x:v>
      </x:c>
      <x:c r="B23" s="3" t="str">
        <x:v>Measured moisture content</x:v>
      </x:c>
      <x:c r="C23" s="20"/>
      <x:c r="D23" s="3" t="str">
        <x:v>%</x:v>
      </x:c>
      <x:c r="E23" s="19"/>
      <x:c r="F23" s="3" t="str">
        <x:v>Record instrument, location and service moisture assumptions.</x:v>
      </x:c>
    </x:row>
    <x:row r="24" ht="43" customHeight="1">
      <x:c r="A24" s="9" t="str">
        <x:v>M19</x:v>
      </x:c>
      <x:c r="B24" s="9" t="str">
        <x:v>Initial side bow toward x (magnitude)</x:v>
      </x:c>
      <x:c r="C24" s="20"/>
      <x:c r="D24" s="9" t="str">
        <x:v>in</x:v>
      </x:c>
      <x:c r="E24" s="19"/>
      <x:c r="F24" s="9" t="str">
        <x:v>Record straightedge length, datum and method; 0 requires an observation.</x:v>
      </x:c>
    </x:row>
    <x:row r="25" ht="43" customHeight="1">
      <x:c r="A25" s="3" t="str">
        <x:v>M20</x:v>
      </x:c>
      <x:c r="B25" s="3" t="str">
        <x:v>Initial front/back bow toward y (magnitude)</x:v>
      </x:c>
      <x:c r="C25" s="20"/>
      <x:c r="D25" s="3" t="str">
        <x:v>in</x:v>
      </x:c>
      <x:c r="E25" s="19"/>
      <x:c r="F25" s="3" t="str">
        <x:v>Record method and uncertainty.</x:v>
      </x:c>
    </x:row>
    <x:row r="26" ht="43" customHeight="1">
      <x:c r="A26" s="9" t="str">
        <x:v>M21</x:v>
      </x:c>
      <x:c r="B26" s="9" t="str">
        <x:v>Knots, checks, splits, grain slope, holes/notches</x:v>
      </x:c>
      <x:c r="C26" s="19"/>
      <x:c r="D26" s="9" t="str">
        <x:v>text</x:v>
      </x:c>
      <x:c r="E26" s="19"/>
      <x:c r="F26" s="9" t="str">
        <x:v>Survey each face and joint; photograph any defects and arrises.</x:v>
      </x:c>
    </x:row>
    <x:row r="27" ht="43" customHeight="1">
      <x:c r="A27" s="3" t="str">
        <x:v>M22</x:v>
      </x:c>
      <x:c r="B27" s="3" t="str">
        <x:v>Design-property source and all adjustments</x:v>
      </x:c>
      <x:c r="C27" s="19"/>
      <x:c r="D27" s="3" t="str">
        <x:v>text</x:v>
      </x:c>
      <x:c r="E27" s="19"/>
      <x:c r="F27" s="3" t="str">
        <x:v>Adjusted allowables, E/E_min, duration, wet service, temperature and size basis.</x:v>
      </x:c>
    </x:row>
    <x:row r="28" ht="43" customHeight="1">
      <x:c r="A28" s="9" t="str">
        <x:v>M23</x:v>
      </x:c>
      <x:c r="B28" s="9" t="str">
        <x:v>Existing stock / final dimensions evidence status</x:v>
      </x:c>
      <x:c r="C28" s="19"/>
      <x:c r="D28" s="9" t="str">
        <x:v>text</x:v>
      </x:c>
      <x:c r="E28" s="19"/>
      <x:c r="F28" s="9" t="str">
        <x:v>Distinguish actual measurement, selected specification and planned layout.</x:v>
      </x:c>
    </x:row>
    <x:row r="29" ht="43" customHeight="1">
      <x:c r="A29" s="3" t="str">
        <x:v>M24</x:v>
      </x:c>
      <x:c r="B29" s="3" t="str">
        <x:v>Parallel speaking-span force model confirmed</x:v>
      </x:c>
      <x:c r="C29" s="19"/>
      <x:c r="D29" s="3" t="str">
        <x:v>YES/NO</x:v>
      </x:c>
      <x:c r="E29" s="19"/>
      <x:c r="F29" s="3" t="str">
        <x:v>NO or blank -&gt; automatic frame model unavailable; attach full vector analysis.</x:v>
      </x:c>
    </x:row>
    <x:row r="30" ht="43" customHeight="1">
      <x:c r="A30" s="9" t="str">
        <x:v>M25</x:v>
      </x:c>
      <x:c r="B30" s="9" t="str">
        <x:v>Same x and face gap c at both speaking ends</x:v>
      </x:c>
      <x:c r="C30" s="19"/>
      <x:c r="D30" s="9" t="str">
        <x:v>YES/NO</x:v>
      </x:c>
      <x:c r="E30" s="19"/>
      <x:c r="F30" s="9" t="str">
        <x:v>NO or blank -&gt; resolve separate endpoints and all contact forces.</x:v>
      </x:c>
    </x:row>
    <x:row r="31" ht="43" customHeight="1">
      <x:c r="A31" s="3" t="str">
        <x:v>M26</x:v>
      </x:c>
      <x:c r="B31" s="3" t="str">
        <x:v>Complete upper/lower free-body drawing ID</x:v>
      </x:c>
      <x:c r="C31" s="19"/>
      <x:c r="D31" s="3" t="str">
        <x:v>text</x:v>
      </x:c>
      <x:c r="E31" s="19"/>
      <x:c r="F31" s="3" t="str">
        <x:v>No friction-only or unexplained moment reduction.</x:v>
      </x:c>
    </x:row>
    <x:row r="32" ht="43" customHeight="1">
      <x:c r="A32" s="9" t="str">
        <x:v>M27</x:v>
      </x:c>
      <x:c r="B32" s="9" t="str">
        <x:v>Critical cuts and hole geometry calculation ID</x:v>
      </x:c>
      <x:c r="C32" s="19"/>
      <x:c r="D32" s="9" t="str">
        <x:v>text</x:v>
      </x:c>
      <x:c r="E32" s="19"/>
      <x:c r="F32" s="9" t="str">
        <x:v>Include every hole/notch; gross section alone is insufficient.</x:v>
      </x:c>
    </x:row>
    <x:row r="33" ht="43" customHeight="1">
      <x:c r="A33" s="3" t="str">
        <x:v>M28</x:v>
      </x:c>
      <x:c r="B33" s="3" t="str">
        <x:v>Long-term, dynamic and retuning case plan ID</x:v>
      </x:c>
      <x:c r="C33" s="19"/>
      <x:c r="D33" s="3" t="str">
        <x:v>text</x:v>
      </x:c>
      <x:c r="E33" s="19"/>
      <x:c r="F33" s="3" t="str">
        <x:v>Predeclare applicable cases; do not invent a universal impact factor.</x:v>
      </x:c>
    </x:row>
    <x:row r="34" ht="43" customHeight="1">
      <x:c r="A34" s="9" t="str">
        <x:v>M29</x:v>
      </x:c>
      <x:c r="B34" s="9" t="str">
        <x:v>Net section x/y axes principal and section model reviewed</x:v>
      </x:c>
      <x:c r="C34" s="19"/>
      <x:c r="D34" s="9" t="str">
        <x:v>YES/NO</x:v>
      </x:c>
      <x:c r="E34" s="19"/>
      <x:c r="F34" s="9" t="str">
        <x:v>Optional net stress screen requires principal axes; otherwise attach full unsymmetric analysis.</x:v>
      </x:c>
    </x:row>
    <x:row r="35" ht="43" customHeight="1">
      <x:c r="A35" s="3" t="str">
        <x:v>M30</x:v>
      </x:c>
      <x:c r="B35" s="3" t="str">
        <x:v>Measurement date</x:v>
      </x:c>
      <x:c r="C35" s="21"/>
      <x:c r="D35" s="3" t="str">
        <x:v>date</x:v>
      </x:c>
      <x:c r="E35" s="19"/>
      <x:c r="F35" s="3" t="str">
        <x:v>Use an actual date; do not backdate a review.</x:v>
      </x:c>
    </x:row>
    <x:row r="36" ht="43" customHeight="1">
      <x:c r="A36" s="9" t="str">
        <x:v>M31</x:v>
      </x:c>
      <x:c r="B36" s="9" t="str">
        <x:v>Upper net area at critical cut</x:v>
      </x:c>
      <x:c r="C36" s="20"/>
      <x:c r="D36" s="9" t="str">
        <x:v>in^2</x:v>
      </x:c>
      <x:c r="E36" s="19"/>
      <x:c r="F36" s="9" t="str">
        <x:v>Reviewed section geometry, including holes/notches.</x:v>
      </x:c>
    </x:row>
    <x:row r="37" ht="43" customHeight="1">
      <x:c r="A37" s="3" t="str">
        <x:v>M32</x:v>
      </x:c>
      <x:c r="B37" s="3" t="str">
        <x:v>Upper net Sx (governing extreme fiber)</x:v>
      </x:c>
      <x:c r="C37" s="20"/>
      <x:c r="D37" s="3" t="str">
        <x:v>in^3</x:v>
      </x:c>
      <x:c r="E37" s="19"/>
      <x:c r="F37" s="3" t="str">
        <x:v>Use the smaller applicable positive/negative section modulus.</x:v>
      </x:c>
    </x:row>
    <x:row r="38" ht="43" customHeight="1">
      <x:c r="A38" s="9" t="str">
        <x:v>M33</x:v>
      </x:c>
      <x:c r="B38" s="9" t="str">
        <x:v>Upper net Sy (governing extreme fiber)</x:v>
      </x:c>
      <x:c r="C38" s="20"/>
      <x:c r="D38" s="9" t="str">
        <x:v>in^3</x:v>
      </x:c>
      <x:c r="E38" s="19"/>
      <x:c r="F38" s="9" t="str">
        <x:v>For principal axes only; attach geometry derivation.</x:v>
      </x:c>
    </x:row>
    <x:row r="39" ht="43" customHeight="1">
      <x:c r="A39" s="3" t="str">
        <x:v>M34</x:v>
      </x:c>
      <x:c r="B39" s="3" t="str">
        <x:v>Upper net centroid x offset from gross axis</x:v>
      </x:c>
      <x:c r="C39" s="20"/>
      <x:c r="D39" s="3" t="str">
        <x:v>in</x:v>
      </x:c>
      <x:c r="E39" s="19"/>
      <x:c r="F39" s="3" t="str">
        <x:v>Signed; an actual centered cut can be 0.</x:v>
      </x:c>
    </x:row>
    <x:row r="40" ht="43" customHeight="1">
      <x:c r="A40" s="9" t="str">
        <x:v>M35</x:v>
      </x:c>
      <x:c r="B40" s="9" t="str">
        <x:v>Upper net centroid y offset from gross axis</x:v>
      </x:c>
      <x:c r="C40" s="20"/>
      <x:c r="D40" s="9" t="str">
        <x:v>in</x:v>
      </x:c>
      <x:c r="E40" s="19"/>
      <x:c r="F40" s="9" t="str">
        <x:v>Signed; use for reference-axis moment translation.</x:v>
      </x:c>
    </x:row>
    <x:row r="41" ht="43" customHeight="1">
      <x:c r="A41" s="3" t="str">
        <x:v>M36</x:v>
      </x:c>
      <x:c r="B41" s="3" t="str">
        <x:v>Lower net area at critical cut</x:v>
      </x:c>
      <x:c r="C41" s="20"/>
      <x:c r="D41" s="3" t="str">
        <x:v>in^2</x:v>
      </x:c>
      <x:c r="E41" s="19"/>
      <x:c r="F41" s="3" t="str">
        <x:v>Separate lower cut; no automatic copy of the upper joint.</x:v>
      </x:c>
    </x:row>
    <x:row r="42" ht="43" customHeight="1">
      <x:c r="A42" s="9" t="str">
        <x:v>M37</x:v>
      </x:c>
      <x:c r="B42" s="9" t="str">
        <x:v>Lower net Sx (governing extreme fiber)</x:v>
      </x:c>
      <x:c r="C42" s="20"/>
      <x:c r="D42" s="9" t="str">
        <x:v>in^3</x:v>
      </x:c>
      <x:c r="E42" s="19"/>
      <x:c r="F42" s="9" t="str">
        <x:v>Reviewed section geometry.</x:v>
      </x:c>
    </x:row>
    <x:row r="43" ht="43" customHeight="1">
      <x:c r="A43" s="3" t="str">
        <x:v>M38</x:v>
      </x:c>
      <x:c r="B43" s="3" t="str">
        <x:v>Lower net Sy (governing extreme fiber)</x:v>
      </x:c>
      <x:c r="C43" s="20"/>
      <x:c r="D43" s="3" t="str">
        <x:v>in^3</x:v>
      </x:c>
      <x:c r="E43" s="19"/>
      <x:c r="F43" s="3" t="str">
        <x:v>Reviewed principal axes.</x:v>
      </x:c>
    </x:row>
    <x:row r="44" ht="43" customHeight="1">
      <x:c r="A44" s="9" t="str">
        <x:v>M39</x:v>
      </x:c>
      <x:c r="B44" s="9" t="str">
        <x:v>Lower net centroid x offset from gross axis</x:v>
      </x:c>
      <x:c r="C44" s="20"/>
      <x:c r="D44" s="9" t="str">
        <x:v>in</x:v>
      </x:c>
      <x:c r="E44" s="19"/>
      <x:c r="F44" s="9" t="str">
        <x:v>Signed.</x:v>
      </x:c>
    </x:row>
    <x:row r="45" ht="43" customHeight="1">
      <x:c r="A45" s="3" t="str">
        <x:v>M40</x:v>
      </x:c>
      <x:c r="B45" s="3" t="str">
        <x:v>Lower net centroid y offset from gross axis</x:v>
      </x:c>
      <x:c r="C45" s="20"/>
      <x:c r="D45" s="3" t="str">
        <x:v>in</x:v>
      </x:c>
      <x:c r="E45" s="19"/>
      <x:c r="F45" s="3" t="str">
        <x:v>Signed.</x:v>
      </x:c>
    </x:row>
    <x:row r="46" ht="43" customHeight="1">
      <x:c r="A46" s="9" t="str">
        <x:v>M41</x:v>
      </x:c>
      <x:c r="B46" s="9" t="str">
        <x:v>Net-section derivation/review reference</x:v>
      </x:c>
      <x:c r="C46" s="19"/>
      <x:c r="D46" s="9" t="str">
        <x:v>text</x:v>
      </x:c>
      <x:c r="E46" s="19"/>
      <x:c r="F46" s="9" t="str">
        <x:v>Include local bearing, splitting and stress concentrations separately.</x:v>
      </x:c>
    </x:row>
    <x:row r="47" ht="28" customHeight="1">
      <x:c r="A47" s="3"/>
      <x:c r="B47" s="3"/>
      <x:c r="C47" s="3"/>
      <x:c r="D47" s="3"/>
      <x:c r="E47" s="3"/>
      <x:c r="F47" s="3"/>
    </x:row>
  </x:sheetData>
  <x:mergeCells>
    <x:mergeCell ref="A1:F2"/>
    <x:mergeCell ref="A3:F3"/>
  </x:mergeCells>
  <x:dataValidations count="3">
    <x:dataValidation type="list" sqref="C29">
      <x:formula1>"YES,NO"</x:formula1>
    </x:dataValidation>
    <x:dataValidation type="list" sqref="C30">
      <x:formula1>"YES,NO"</x:formula1>
    </x:dataValidation>
    <x:dataValidation type="list" sqref="C34">
      <x:formula1>"YES,NO"</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6" hidden="0" customWidth="1"/>
    <x:col min="3" max="3" width="23" hidden="0" customWidth="1"/>
    <x:col min="4" max="4" width="23" hidden="0" customWidth="1"/>
    <x:col min="5" max="5" width="11" hidden="0" customWidth="1"/>
    <x:col min="6" max="6" width="37" hidden="0" customWidth="1"/>
    <x:col min="7" max="7" width="37" hidden="0" customWidth="1"/>
    <x:col min="8" max="8" width="58" hidden="0" customWidth="1"/>
  </x:cols>
  <x:sheetData>
    <x:row r="1" ht="28" customHeight="1">
      <x:c r="A1" s="5" t="str">
        <x:v>Actual joints | Upper &amp; lower records</x:v>
      </x:c>
      <x:c r="B1" s="5" t="str">
        <x:v>Actual joints | Upper &amp; lower records</x:v>
      </x:c>
      <x:c r="C1" s="5" t="str">
        <x:v>Actual joints | Upper &amp; lower records</x:v>
      </x:c>
      <x:c r="D1" s="5" t="str">
        <x:v>Actual joints | Upper &amp; lower records</x:v>
      </x:c>
      <x:c r="E1" s="5" t="str">
        <x:v>Actual joints | Upper &amp; lower records</x:v>
      </x:c>
      <x:c r="F1" s="5" t="str">
        <x:v>Actual joints | Upper &amp; lower records</x:v>
      </x:c>
      <x:c r="G1" s="5" t="str">
        <x:v>Actual joints | Upper &amp; lower records</x:v>
      </x:c>
      <x:c r="H1" s="5" t="str">
        <x:v>Actual joints | Upper &amp; lower records</x:v>
      </x:c>
    </x:row>
    <x:row r="2" ht="28" customHeight="1">
      <x:c r="A2" s="5" t="str">
        <x:v>Actual joints | Upper &amp; lower records</x:v>
      </x:c>
      <x:c r="B2" s="5" t="str">
        <x:v>Actual joints | Upper &amp; lower records</x:v>
      </x:c>
      <x:c r="C2" s="5" t="str">
        <x:v>Actual joints | Upper &amp; lower records</x:v>
      </x:c>
      <x:c r="D2" s="5" t="str">
        <x:v>Actual joints | Upper &amp; lower records</x:v>
      </x:c>
      <x:c r="E2" s="5" t="str">
        <x:v>Actual joints | Upper &amp; lower records</x:v>
      </x:c>
      <x:c r="F2" s="5" t="str">
        <x:v>Actual joints | Upper &amp; lower records</x:v>
      </x:c>
      <x:c r="G2" s="5" t="str">
        <x:v>Actual joints | Upper &amp; lower records</x:v>
      </x:c>
      <x:c r="H2" s="5" t="str">
        <x:v>Actual joints | Upper &amp; lower records</x:v>
      </x:c>
    </x:row>
    <x:row r="3" ht="43" customHeight="1">
      <x:c r="A3" s="6" t="str">
        <x:v>Upper and lower records are independent. Candidate CX-1 sizes are not prefilled or treated as selected parts.</x:v>
      </x:c>
      <x:c r="B3" s="6" t="str">
        <x:v>Upper and lower records are independent. Candidate CX-1 sizes are not prefilled or treated as selected parts.</x:v>
      </x:c>
      <x:c r="C3" s="6" t="str">
        <x:v>Upper and lower records are independent. Candidate CX-1 sizes are not prefilled or treated as selected parts.</x:v>
      </x:c>
      <x:c r="D3" s="6" t="str">
        <x:v>Upper and lower records are independent. Candidate CX-1 sizes are not prefilled or treated as selected parts.</x:v>
      </x:c>
      <x:c r="E3" s="6" t="str">
        <x:v>Upper and lower records are independent. Candidate CX-1 sizes are not prefilled or treated as selected parts.</x:v>
      </x:c>
      <x:c r="F3" s="6" t="str">
        <x:v>Upper and lower records are independent. Candidate CX-1 sizes are not prefilled or treated as selected parts.</x:v>
      </x:c>
      <x:c r="G3" s="6" t="str">
        <x:v>Upper and lower records are independent. Candidate CX-1 sizes are not prefilled or treated as selected parts.</x:v>
      </x:c>
      <x:c r="H3" s="6" t="str">
        <x:v>Upper and lower records are independent. Candidate CX-1 sizes are not prefilled or treated as selected parts.</x:v>
      </x:c>
    </x:row>
    <x:row r="4" ht="28" customHeight="1">
      <x:c r="A4" s="3"/>
      <x:c r="B4" s="3"/>
      <x:c r="C4" s="3"/>
      <x:c r="D4" s="3"/>
      <x:c r="E4" s="3"/>
      <x:c r="F4" s="3"/>
      <x:c r="G4" s="3"/>
      <x:c r="H4" s="3"/>
    </x:row>
    <x:row r="5" ht="36" customHeight="1">
      <x:c r="A5" s="8" t="str">
        <x:v>Field ID</x:v>
      </x:c>
      <x:c r="B5" s="8" t="str">
        <x:v>Input / measurement</x:v>
      </x:c>
      <x:c r="C5" s="8" t="str">
        <x:v>Upper value</x:v>
      </x:c>
      <x:c r="D5" s="8" t="str">
        <x:v>Lower value</x:v>
      </x:c>
      <x:c r="E5" s="8" t="str">
        <x:v>Unit</x:v>
      </x:c>
      <x:c r="F5" s="8" t="str">
        <x:v>Upper evidence / bounds</x:v>
      </x:c>
      <x:c r="G5" s="8" t="str">
        <x:v>Lower evidence / bounds</x:v>
      </x:c>
      <x:c r="H5" s="8" t="str">
        <x:v>Instruction</x:v>
      </x:c>
    </x:row>
    <x:row r="6" ht="42" customHeight="1">
      <x:c r="A6" s="9" t="str">
        <x:v>J01</x:v>
      </x:c>
      <x:c r="B6" s="9" t="str">
        <x:v>Selected architecture</x:v>
      </x:c>
      <x:c r="C6" s="19"/>
      <x:c r="D6" s="19"/>
      <x:c r="E6" s="9" t="str">
        <x:v>text</x:v>
      </x:c>
      <x:c r="F6" s="19"/>
      <x:c r="G6" s="19"/>
      <x:c r="H6" s="9" t="str">
        <x:v>Collar/yoke, front bar, hybrid, or other; retain exact drawing.</x:v>
      </x:c>
    </x:row>
    <x:row r="7" ht="42" customHeight="1">
      <x:c r="A7" s="3" t="str">
        <x:v>J02</x:v>
      </x:c>
      <x:c r="B7" s="3" t="str">
        <x:v>Joint part / drawing revision</x:v>
      </x:c>
      <x:c r="C7" s="19"/>
      <x:c r="D7" s="19"/>
      <x:c r="E7" s="3" t="str">
        <x:v>text</x:v>
      </x:c>
      <x:c r="F7" s="19"/>
      <x:c r="G7" s="19"/>
      <x:c r="H7" s="3" t="str">
        <x:v>Upper and lower must each have a current detail.</x:v>
      </x:c>
    </x:row>
    <x:row r="8" ht="42" customHeight="1">
      <x:c r="A8" s="9" t="str">
        <x:v>J03</x:v>
      </x:c>
      <x:c r="B8" s="9" t="str">
        <x:v>Bar material, alloy, temper / grade</x:v>
      </x:c>
      <x:c r="C8" s="19"/>
      <x:c r="D8" s="19"/>
      <x:c r="E8" s="9" t="str">
        <x:v>text</x:v>
      </x:c>
      <x:c r="F8" s="19"/>
      <x:c r="G8" s="19"/>
      <x:c r="H8" s="9" t="str">
        <x:v>Material identification alone is not a design allowable.</x:v>
      </x:c>
    </x:row>
    <x:row r="9" ht="42" customHeight="1">
      <x:c r="A9" s="3" t="str">
        <x:v>J04</x:v>
      </x:c>
      <x:c r="B9" s="3" t="str">
        <x:v>Bar material lot / certificate ID</x:v>
      </x:c>
      <x:c r="C9" s="19"/>
      <x:c r="D9" s="19"/>
      <x:c r="E9" s="3" t="str">
        <x:v>text</x:v>
      </x:c>
      <x:c r="F9" s="19"/>
      <x:c r="G9" s="19"/>
      <x:c r="H9" s="3" t="str">
        <x:v>Actual selected stock and supplier evidence.</x:v>
      </x:c>
    </x:row>
    <x:row r="10" ht="42" customHeight="1">
      <x:c r="A10" s="9" t="str">
        <x:v>J05</x:v>
      </x:c>
      <x:c r="B10" s="9" t="str">
        <x:v>Bar total length Lx</x:v>
      </x:c>
      <x:c r="C10" s="19"/>
      <x:c r="D10" s="19"/>
      <x:c r="E10" s="9" t="str">
        <x:v>in</x:v>
      </x:c>
      <x:c r="F10" s="19"/>
      <x:c r="G10" s="19"/>
      <x:c r="H10" s="9" t="str">
        <x:v>End allowances depend on actual holes and load/material review.</x:v>
      </x:c>
    </x:row>
    <x:row r="11" ht="42" customHeight="1">
      <x:c r="A11" s="3" t="str">
        <x:v>J06</x:v>
      </x:c>
      <x:c r="B11" s="3" t="str">
        <x:v>Bar depth By toward y</x:v>
      </x:c>
      <x:c r="C11" s="19"/>
      <x:c r="D11" s="19"/>
      <x:c r="E11" s="3" t="str">
        <x:v>in</x:v>
      </x:c>
      <x:c r="F11" s="19"/>
      <x:c r="G11" s="19"/>
      <x:c r="H11" s="3" t="str">
        <x:v>Declare orientation; this is not automatically the bending depth.</x:v>
      </x:c>
    </x:row>
    <x:row r="12" ht="42" customHeight="1">
      <x:c r="A12" s="9" t="str">
        <x:v>J07</x:v>
      </x:c>
      <x:c r="B12" s="9" t="str">
        <x:v>Bar vertical height Hz</x:v>
      </x:c>
      <x:c r="C12" s="19"/>
      <x:c r="D12" s="19"/>
      <x:c r="E12" s="9" t="str">
        <x:v>in</x:v>
      </x:c>
      <x:c r="F12" s="19"/>
      <x:c r="G12" s="19"/>
      <x:c r="H12" s="9" t="str">
        <x:v>Vertical force bends an x-spanning bar using By x Hz^3 / 12.</x:v>
      </x:c>
    </x:row>
    <x:row r="13" ht="42" customHeight="1">
      <x:c r="A13" s="3" t="str">
        <x:v>J08</x:v>
      </x:c>
      <x:c r="B13" s="3" t="str">
        <x:v>Left effective support edge x</x:v>
      </x:c>
      <x:c r="C13" s="19"/>
      <x:c r="D13" s="19"/>
      <x:c r="E13" s="3" t="str">
        <x:v>in</x:v>
      </x:c>
      <x:c r="F13" s="19"/>
      <x:c r="G13" s="19"/>
      <x:c r="H13" s="3" t="str">
        <x:v>Record support boundary; do not assume the spine face supports the full width.</x:v>
      </x:c>
    </x:row>
    <x:row r="14" ht="42" customHeight="1">
      <x:c r="A14" s="9" t="str">
        <x:v>J09</x:v>
      </x:c>
      <x:c r="B14" s="9" t="str">
        <x:v>Right effective support edge x</x:v>
      </x:c>
      <x:c r="C14" s="19"/>
      <x:c r="D14" s="19"/>
      <x:c r="E14" s="9" t="str">
        <x:v>in</x:v>
      </x:c>
      <x:c r="F14" s="19"/>
      <x:c r="G14" s="19"/>
      <x:c r="H14" s="9" t="str">
        <x:v>Same x datum as hole map; right must exceed left.</x:v>
      </x:c>
    </x:row>
    <x:row r="15" ht="42" customHeight="1">
      <x:c r="A15" s="3" t="str">
        <x:v>J10</x:v>
      </x:c>
      <x:c r="B15" s="3" t="str">
        <x:v>Joint reference x</x:v>
      </x:c>
      <x:c r="C15" s="19"/>
      <x:c r="D15" s="19"/>
      <x:c r="E15" s="3" t="str">
        <x:v>in</x:v>
      </x:c>
      <x:c r="F15" s="19"/>
      <x:c r="G15" s="19"/>
      <x:c r="H15" s="3" t="str">
        <x:v>Centroid/reference for joint free-body demand, relative to gross spine axis.</x:v>
      </x:c>
    </x:row>
    <x:row r="16" ht="42" customHeight="1">
      <x:c r="A16" s="9" t="str">
        <x:v>J11</x:v>
      </x:c>
      <x:c r="B16" s="9" t="str">
        <x:v>Joint reference y</x:v>
      </x:c>
      <x:c r="C16" s="19"/>
      <x:c r="D16" s="19"/>
      <x:c r="E16" s="9" t="str">
        <x:v>in</x:v>
      </x:c>
      <x:c r="F16" s="19"/>
      <x:c r="G16" s="19"/>
      <x:c r="H16" s="9" t="str">
        <x:v>Use actual reference; no automatic d/2 + c for every joint.</x:v>
      </x:c>
    </x:row>
    <x:row r="17" ht="42" customHeight="1">
      <x:c r="A17" s="3" t="str">
        <x:v>J12</x:v>
      </x:c>
      <x:c r="B17" s="3" t="str">
        <x:v>Joint reference z</x:v>
      </x:c>
      <x:c r="C17" s="19"/>
      <x:c r="D17" s="19"/>
      <x:c r="E17" s="3" t="str">
        <x:v>in</x:v>
      </x:c>
      <x:c r="F17" s="19"/>
      <x:c r="G17" s="19"/>
      <x:c r="H17" s="3" t="str">
        <x:v>Same physical z datum; record load-transfer height.</x:v>
      </x:c>
    </x:row>
    <x:row r="18" ht="42" customHeight="1">
      <x:c r="A18" s="9" t="str">
        <x:v>J13</x:v>
      </x:c>
      <x:c r="B18" s="9" t="str">
        <x:v>Actual bolt count</x:v>
      </x:c>
      <x:c r="C18" s="19"/>
      <x:c r="D18" s="19"/>
      <x:c r="E18" s="9" t="str">
        <x:v>count</x:v>
      </x:c>
      <x:c r="F18" s="19"/>
      <x:c r="G18" s="19"/>
      <x:c r="H18" s="9" t="str">
        <x:v>Two-bolt screen is available only for a two-bolt architecture.</x:v>
      </x:c>
    </x:row>
    <x:row r="19" ht="42" customHeight="1">
      <x:c r="A19" s="3" t="str">
        <x:v>J14</x:v>
      </x:c>
      <x:c r="B19" s="3" t="str">
        <x:v>Bolt shank diameter D</x:v>
      </x:c>
      <x:c r="C19" s="19"/>
      <x:c r="D19" s="19"/>
      <x:c r="E19" s="3" t="str">
        <x:v>in</x:v>
      </x:c>
      <x:c r="F19" s="19"/>
      <x:c r="G19" s="19"/>
      <x:c r="H19" s="3" t="str">
        <x:v>Measure lot; document specification and tolerance.</x:v>
      </x:c>
    </x:row>
    <x:row r="20" ht="42" customHeight="1">
      <x:c r="A20" s="9" t="str">
        <x:v>J15</x:v>
      </x:c>
      <x:c r="B20" s="9" t="str">
        <x:v>Finished bolt hole diameter Dh</x:v>
      </x:c>
      <x:c r="C20" s="19"/>
      <x:c r="D20" s="19"/>
      <x:c r="E20" s="9" t="str">
        <x:v>in</x:v>
      </x:c>
      <x:c r="F20" s="19"/>
      <x:c r="G20" s="19"/>
      <x:c r="H20" s="9" t="str">
        <x:v>Record wood and metal holes individually in evidence if different.</x:v>
      </x:c>
    </x:row>
    <x:row r="21" ht="42" customHeight="1">
      <x:c r="A21" s="3" t="str">
        <x:v>J16</x:v>
      </x:c>
      <x:c r="B21" s="3" t="str">
        <x:v>Bolt specification / lot / supplier</x:v>
      </x:c>
      <x:c r="C21" s="19"/>
      <x:c r="D21" s="19"/>
      <x:c r="E21" s="3" t="str">
        <x:v>text</x:v>
      </x:c>
      <x:c r="F21" s="19"/>
      <x:c r="G21" s="19"/>
      <x:c r="H21" s="3" t="str">
        <x:v>E.g. a fully specified SAE product; do not infer grade from diameter.</x:v>
      </x:c>
    </x:row>
    <x:row r="22" ht="42" customHeight="1">
      <x:c r="A22" s="9" t="str">
        <x:v>J17</x:v>
      </x:c>
      <x:c r="B22" s="9" t="str">
        <x:v>Bolt grade markings / photo</x:v>
      </x:c>
      <x:c r="C22" s="19"/>
      <x:c r="D22" s="19"/>
      <x:c r="E22" s="9" t="str">
        <x:v>text</x:v>
      </x:c>
      <x:c r="F22" s="19"/>
      <x:c r="G22" s="19"/>
      <x:c r="H22" s="9" t="str">
        <x:v>Verify nuts, washers and thread compatibility.</x:v>
      </x:c>
    </x:row>
    <x:row r="23" ht="42" customHeight="1">
      <x:c r="A23" s="3" t="str">
        <x:v>J18</x:v>
      </x:c>
      <x:c r="B23" s="3" t="str">
        <x:v>Shank grip length</x:v>
      </x:c>
      <x:c r="C23" s="19"/>
      <x:c r="D23" s="19"/>
      <x:c r="E23" s="3" t="str">
        <x:v>in</x:v>
      </x:c>
      <x:c r="F23" s="19"/>
      <x:c r="G23" s="19"/>
      <x:c r="H23" s="3" t="str">
        <x:v>Show stack thickness; distinguish unthreaded grip from total length.</x:v>
      </x:c>
    </x:row>
    <x:row r="24" ht="42" customHeight="1">
      <x:c r="A24" s="9" t="str">
        <x:v>J19</x:v>
      </x:c>
      <x:c r="B24" s="9" t="str">
        <x:v>Verified tensile stress area At</x:v>
      </x:c>
      <x:c r="C24" s="19"/>
      <x:c r="D24" s="19"/>
      <x:c r="E24" s="9" t="str">
        <x:v>in^2</x:v>
      </x:c>
      <x:c r="F24" s="19"/>
      <x:c r="G24" s="19"/>
      <x:c r="H24" s="9" t="str">
        <x:v>From the selected thread specification.</x:v>
      </x:c>
    </x:row>
    <x:row r="25" ht="42" customHeight="1">
      <x:c r="A25" s="3" t="str">
        <x:v>J20</x:v>
      </x:c>
      <x:c r="B25" s="3" t="str">
        <x:v>Threads in shear plane / grip-stack detail</x:v>
      </x:c>
      <x:c r="C25" s="19"/>
      <x:c r="D25" s="19"/>
      <x:c r="E25" s="3" t="str">
        <x:v>text</x:v>
      </x:c>
      <x:c r="F25" s="19"/>
      <x:c r="G25" s="19"/>
      <x:c r="H25" s="3" t="str">
        <x:v>State each shear plane, single/double shear and actual side members.</x:v>
      </x:c>
    </x:row>
    <x:row r="26" ht="42" customHeight="1">
      <x:c r="A26" s="9" t="str">
        <x:v>J21</x:v>
      </x:c>
      <x:c r="B26" s="9" t="str">
        <x:v>Backing plate width across x</x:v>
      </x:c>
      <x:c r="C26" s="19"/>
      <x:c r="D26" s="19"/>
      <x:c r="E26" s="9" t="str">
        <x:v>in</x:v>
      </x:c>
      <x:c r="F26" s="19"/>
      <x:c r="G26" s="19"/>
      <x:c r="H26" s="9" t="str">
        <x:v>Record full actual dimensions and contact footprint.</x:v>
      </x:c>
    </x:row>
    <x:row r="27" ht="42" customHeight="1">
      <x:c r="A27" s="3" t="str">
        <x:v>J22</x:v>
      </x:c>
      <x:c r="B27" s="3" t="str">
        <x:v>Backing plate height along z</x:v>
      </x:c>
      <x:c r="C27" s="19"/>
      <x:c r="D27" s="19"/>
      <x:c r="E27" s="3" t="str">
        <x:v>in</x:v>
      </x:c>
      <x:c r="F27" s="19"/>
      <x:c r="G27" s="19"/>
      <x:c r="H27" s="3" t="str">
        <x:v>Include holes and load-transfer geometry.</x:v>
      </x:c>
    </x:row>
    <x:row r="28" ht="42" customHeight="1">
      <x:c r="A28" s="9" t="str">
        <x:v>J23</x:v>
      </x:c>
      <x:c r="B28" s="9" t="str">
        <x:v>Backing plate thickness along y</x:v>
      </x:c>
      <x:c r="C28" s="19"/>
      <x:c r="D28" s="19"/>
      <x:c r="E28" s="9" t="str">
        <x:v>in</x:v>
      </x:c>
      <x:c r="F28" s="19"/>
      <x:c r="G28" s="19"/>
      <x:c r="H28" s="9" t="str">
        <x:v>Plate bending/local prying requires a separate check.</x:v>
      </x:c>
    </x:row>
    <x:row r="29" ht="42" customHeight="1">
      <x:c r="A29" s="3" t="str">
        <x:v>J24</x:v>
      </x:c>
      <x:c r="B29" s="3" t="str">
        <x:v>Backing plate material/lot</x:v>
      </x:c>
      <x:c r="C29" s="19"/>
      <x:c r="D29" s="19"/>
      <x:c r="E29" s="3" t="str">
        <x:v>text</x:v>
      </x:c>
      <x:c r="F29" s="19"/>
      <x:c r="G29" s="19"/>
      <x:c r="H29" s="3" t="str">
        <x:v>Separate material evidence from the front bar.</x:v>
      </x:c>
    </x:row>
    <x:row r="30" ht="42" customHeight="1">
      <x:c r="A30" s="9" t="str">
        <x:v>J25</x:v>
      </x:c>
      <x:c r="B30" s="9" t="str">
        <x:v>Washer outside diameter</x:v>
      </x:c>
      <x:c r="C30" s="19"/>
      <x:c r="D30" s="19"/>
      <x:c r="E30" s="9" t="str">
        <x:v>in</x:v>
      </x:c>
      <x:c r="F30" s="19"/>
      <x:c r="G30" s="19"/>
      <x:c r="H30" s="9" t="str">
        <x:v>Record each different washer size in evidence.</x:v>
      </x:c>
    </x:row>
    <x:row r="31" ht="42" customHeight="1">
      <x:c r="A31" s="3" t="str">
        <x:v>J26</x:v>
      </x:c>
      <x:c r="B31" s="3" t="str">
        <x:v>Washer inside diameter</x:v>
      </x:c>
      <x:c r="C31" s="19"/>
      <x:c r="D31" s="19"/>
      <x:c r="E31" s="3" t="str">
        <x:v>in</x:v>
      </x:c>
      <x:c r="F31" s="19"/>
      <x:c r="G31" s="19"/>
      <x:c r="H31" s="3" t="str">
        <x:v>Annular geometric area is not automatically effective wood bearing area.</x:v>
      </x:c>
    </x:row>
    <x:row r="32" ht="42" customHeight="1">
      <x:c r="A32" s="9" t="str">
        <x:v>J27</x:v>
      </x:c>
      <x:c r="B32" s="9" t="str">
        <x:v>Washer thickness</x:v>
      </x:c>
      <x:c r="C32" s="19"/>
      <x:c r="D32" s="19"/>
      <x:c r="E32" s="9" t="str">
        <x:v>in</x:v>
      </x:c>
      <x:c r="F32" s="19"/>
      <x:c r="G32" s="19"/>
      <x:c r="H32" s="9" t="str">
        <x:v>Review dishing, bearing and pull-through.</x:v>
      </x:c>
    </x:row>
    <x:row r="33" ht="42" customHeight="1">
      <x:c r="A33" s="3" t="str">
        <x:v>J28</x:v>
      </x:c>
      <x:c r="B33" s="3" t="str">
        <x:v>Nut retention / tightening specification</x:v>
      </x:c>
      <x:c r="C33" s="19"/>
      <x:c r="D33" s="19"/>
      <x:c r="E33" s="3" t="str">
        <x:v>text</x:v>
      </x:c>
      <x:c r="F33" s="19"/>
      <x:c r="G33" s="19"/>
      <x:c r="H33" s="3" t="str">
        <x:v>Record source, lubrication, torque/tightening method and access.</x:v>
      </x:c>
    </x:row>
    <x:row r="34" ht="42" customHeight="1">
      <x:c r="A34" s="9" t="str">
        <x:v>J29</x:v>
      </x:c>
      <x:c r="B34" s="9" t="str">
        <x:v>Bolt 1 x coordinate</x:v>
      </x:c>
      <x:c r="C34" s="19"/>
      <x:c r="D34" s="19"/>
      <x:c r="E34" s="9" t="str">
        <x:v>in</x:v>
      </x:c>
      <x:c r="F34" s="19"/>
      <x:c r="G34" s="19"/>
      <x:c r="H34" s="9" t="str">
        <x:v>Two-bolt screen only; additional layouts need attached analysis.</x:v>
      </x:c>
    </x:row>
    <x:row r="35" ht="42" customHeight="1">
      <x:c r="A35" s="3" t="str">
        <x:v>J30</x:v>
      </x:c>
      <x:c r="B35" s="3" t="str">
        <x:v>Bolt 1 z coordinate</x:v>
      </x:c>
      <x:c r="C35" s="19"/>
      <x:c r="D35" s="19"/>
      <x:c r="E35" s="3" t="str">
        <x:v>in</x:v>
      </x:c>
      <x:c r="F35" s="19"/>
      <x:c r="G35" s="19"/>
      <x:c r="H35" s="3" t="str">
        <x:v>Longitudinal height, not spine depth.</x:v>
      </x:c>
    </x:row>
    <x:row r="36" ht="42" customHeight="1">
      <x:c r="A36" s="9" t="str">
        <x:v>J31</x:v>
      </x:c>
      <x:c r="B36" s="9" t="str">
        <x:v>Bolt 2 x coordinate</x:v>
      </x:c>
      <x:c r="C36" s="19"/>
      <x:c r="D36" s="19"/>
      <x:c r="E36" s="9" t="str">
        <x:v>in</x:v>
      </x:c>
      <x:c r="F36" s="19"/>
      <x:c r="G36" s="19"/>
      <x:c r="H36" s="9" t="str">
        <x:v>Use actual location.</x:v>
      </x:c>
    </x:row>
    <x:row r="37" ht="42" customHeight="1">
      <x:c r="A37" s="3" t="str">
        <x:v>J32</x:v>
      </x:c>
      <x:c r="B37" s="3" t="str">
        <x:v>Bolt 2 z coordinate</x:v>
      </x:c>
      <x:c r="C37" s="19"/>
      <x:c r="D37" s="19"/>
      <x:c r="E37" s="3" t="str">
        <x:v>in</x:v>
      </x:c>
      <x:c r="F37" s="19"/>
      <x:c r="G37" s="19"/>
      <x:c r="H37" s="3" t="str">
        <x:v>Use actual location.</x:v>
      </x:c>
    </x:row>
    <x:row r="38" ht="42" customHeight="1">
      <x:c r="A38" s="9" t="str">
        <x:v>J33</x:v>
      </x:c>
      <x:c r="B38" s="9" t="str">
        <x:v>Reviewed tension-to-compression lever h_eff</x:v>
      </x:c>
      <x:c r="C38" s="19"/>
      <x:c r="D38" s="19"/>
      <x:c r="E38" s="9" t="str">
        <x:v>in</x:v>
      </x:c>
      <x:c r="F38" s="19"/>
      <x:c r="G38" s="19"/>
      <x:c r="H38" s="9" t="str">
        <x:v>Distance between actual tension resultant and contact compression resultant.</x:v>
      </x:c>
    </x:row>
    <x:row r="39" ht="42" customHeight="1">
      <x:c r="A39" s="3" t="str">
        <x:v>J34</x:v>
      </x:c>
      <x:c r="B39" s="3" t="str">
        <x:v>Reviewed front/back contact lever a_eff</x:v>
      </x:c>
      <x:c r="C39" s="19"/>
      <x:c r="D39" s="19"/>
      <x:c r="E39" s="3" t="str">
        <x:v>in</x:v>
      </x:c>
      <x:c r="F39" s="19"/>
      <x:c r="G39" s="19"/>
      <x:c r="H39" s="3" t="str">
        <x:v>For a collar face couple; do not substitute depth without contact analysis.</x:v>
      </x:c>
    </x:row>
    <x:row r="40" ht="42" customHeight="1">
      <x:c r="A40" s="9" t="str">
        <x:v>J35</x:v>
      </x:c>
      <x:c r="B40" s="9" t="str">
        <x:v>Effective perpendicular-grain contact area</x:v>
      </x:c>
      <x:c r="C40" s="19"/>
      <x:c r="D40" s="19"/>
      <x:c r="E40" s="9" t="str">
        <x:v>in^2</x:v>
      </x:c>
      <x:c r="F40" s="19"/>
      <x:c r="G40" s="19"/>
      <x:c r="H40" s="9" t="str">
        <x:v>Derived contact patch, excluding voids/holes/unsupported plate regions.</x:v>
      </x:c>
    </x:row>
    <x:row r="41" ht="42" customHeight="1">
      <x:c r="A41" s="3" t="str">
        <x:v>J36</x:v>
      </x:c>
      <x:c r="B41" s="3" t="str">
        <x:v>Positive vertical stop / shoulder / pin detail ID</x:v>
      </x:c>
      <x:c r="C41" s="19"/>
      <x:c r="D41" s="19"/>
      <x:c r="E41" s="3" t="str">
        <x:v>text</x:v>
      </x:c>
      <x:c r="F41" s="19"/>
      <x:c r="G41" s="19"/>
      <x:c r="H41" s="3" t="str">
        <x:v>Identify the complete load path; friction alone gets no capacity credit.</x:v>
      </x:c>
    </x:row>
    <x:row r="42" ht="42" customHeight="1">
      <x:c r="A42" s="9" t="str">
        <x:v>J37</x:v>
      </x:c>
      <x:c r="B42" s="9" t="str">
        <x:v>Tuner/head-block or hitch/break-angle detail ID</x:v>
      </x:c>
      <x:c r="C42" s="19"/>
      <x:c r="D42" s="19"/>
      <x:c r="E42" s="9" t="str">
        <x:v>text</x:v>
      </x:c>
      <x:c r="F42" s="19"/>
      <x:c r="G42" s="19"/>
      <x:c r="H42" s="9" t="str">
        <x:v>Include mounting thickness, winding/termination geometry and local contact forces.</x:v>
      </x:c>
    </x:row>
    <x:row r="43" ht="42" customHeight="1">
      <x:c r="A43" s="3" t="str">
        <x:v>J38</x:v>
      </x:c>
      <x:c r="B43" s="3" t="str">
        <x:v>Reviewed bar net Iy</x:v>
      </x:c>
      <x:c r="C43" s="19"/>
      <x:c r="D43" s="19"/>
      <x:c r="E43" s="3" t="str">
        <x:v>in^4</x:v>
      </x:c>
      <x:c r="F43" s="19"/>
      <x:c r="G43" s="19"/>
      <x:c r="H43" s="3" t="str">
        <x:v>At governing cut, axis y; include actual holes.</x:v>
      </x:c>
    </x:row>
    <x:row r="44" ht="42" customHeight="1">
      <x:c r="A44" s="9" t="str">
        <x:v>J39</x:v>
      </x:c>
      <x:c r="B44" s="9" t="str">
        <x:v>Reviewed bar net Sy</x:v>
      </x:c>
      <x:c r="C44" s="19"/>
      <x:c r="D44" s="19"/>
      <x:c r="E44" s="9" t="str">
        <x:v>in^3</x:v>
      </x:c>
      <x:c r="F44" s="19"/>
      <x:c r="G44" s="19"/>
      <x:c r="H44" s="9" t="str">
        <x:v>Use governing extreme fiber at actual hole/support section.</x:v>
      </x:c>
    </x:row>
    <x:row r="45" ht="42" customHeight="1">
      <x:c r="A45" s="3" t="str">
        <x:v>J40</x:v>
      </x:c>
      <x:c r="B45" s="3" t="str">
        <x:v>Bar net-section derivation reference</x:v>
      </x:c>
      <x:c r="C45" s="19"/>
      <x:c r="D45" s="19"/>
      <x:c r="E45" s="3" t="str">
        <x:v>text</x:v>
      </x:c>
      <x:c r="F45" s="19"/>
      <x:c r="G45" s="19"/>
      <x:c r="H45" s="3" t="str">
        <x:v>Do not treat a gross section as net because loads appear small.</x:v>
      </x:c>
    </x:row>
    <x:row r="46" ht="42" customHeight="1">
      <x:c r="A46" s="9" t="str">
        <x:v>J41</x:v>
      </x:c>
      <x:c r="B46" s="9" t="str">
        <x:v>Reviewed bar elastic modulus E</x:v>
      </x:c>
      <x:c r="C46" s="19"/>
      <x:c r="D46" s="19"/>
      <x:c r="E46" s="9" t="str">
        <x:v>psi</x:v>
      </x:c>
      <x:c r="F46" s="19"/>
      <x:c r="G46" s="19"/>
      <x:c r="H46" s="9" t="str">
        <x:v>Material-specific and condition-specific.</x:v>
      </x:c>
    </x:row>
    <x:row r="47" ht="42" customHeight="1">
      <x:c r="A47" s="3" t="str">
        <x:v>J42</x:v>
      </x:c>
      <x:c r="B47" s="3" t="str">
        <x:v>Effective shear-sharing bolt count n_s</x:v>
      </x:c>
      <x:c r="C47" s="19"/>
      <x:c r="D47" s="19"/>
      <x:c r="E47" s="3" t="str">
        <x:v>count</x:v>
      </x:c>
      <x:c r="F47" s="19"/>
      <x:c r="G47" s="19"/>
      <x:c r="H47" s="3" t="str">
        <x:v>Reviewer-confirmed equal-share screen only; eccentric group effects remain separate.</x:v>
      </x:c>
    </x:row>
    <x:row r="48" ht="42" customHeight="1">
      <x:c r="A48" s="9" t="str">
        <x:v>J43</x:v>
      </x:c>
      <x:c r="B48" s="9" t="str">
        <x:v>Effective tension-row bolt count n_t</x:v>
      </x:c>
      <x:c r="C48" s="19"/>
      <x:c r="D48" s="19"/>
      <x:c r="E48" s="9" t="str">
        <x:v>count</x:v>
      </x:c>
      <x:c r="F48" s="19"/>
      <x:c r="G48" s="19"/>
      <x:c r="H48" s="9" t="str">
        <x:v>Count bolts in the tension row only, not automatically all bolts.</x:v>
      </x:c>
    </x:row>
    <x:row r="49" ht="42" customHeight="1">
      <x:c r="A49" s="3" t="str">
        <x:v>J44</x:v>
      </x:c>
      <x:c r="B49" s="3" t="str">
        <x:v>Additional prying force Q on tension row</x:v>
      </x:c>
      <x:c r="C49" s="19"/>
      <x:c r="D49" s="19"/>
      <x:c r="E49" s="3" t="str">
        <x:v>lbf</x:v>
      </x:c>
      <x:c r="F49" s="19"/>
      <x:c r="G49" s="19"/>
      <x:c r="H49" s="3" t="str">
        <x:v>Reviewer-computed row total; 0 is allowed only with a no-prying derivation.</x:v>
      </x:c>
    </x:row>
    <x:row r="50" ht="42" customHeight="1">
      <x:c r="A50" s="9" t="str">
        <x:v>J45</x:v>
      </x:c>
      <x:c r="B50" s="9" t="str">
        <x:v>Required left end-hole center allowance</x:v>
      </x:c>
      <x:c r="C50" s="19"/>
      <x:c r="D50" s="19"/>
      <x:c r="E50" s="9" t="str">
        <x:v>in</x:v>
      </x:c>
      <x:c r="F50" s="19"/>
      <x:c r="G50" s="19"/>
      <x:c r="H50" s="9" t="str">
        <x:v>From material, hole and load calculation, not generic 2D.</x:v>
      </x:c>
    </x:row>
    <x:row r="51" ht="42" customHeight="1">
      <x:c r="A51" s="3" t="str">
        <x:v>J46</x:v>
      </x:c>
      <x:c r="B51" s="3" t="str">
        <x:v>Required right end-hole center allowance</x:v>
      </x:c>
      <x:c r="C51" s="19"/>
      <x:c r="D51" s="19"/>
      <x:c r="E51" s="3" t="str">
        <x:v>in</x:v>
      </x:c>
      <x:c r="F51" s="19"/>
      <x:c r="G51" s="19"/>
      <x:c r="H51" s="3" t="str">
        <x:v>Record independent values where loading differs.</x:v>
      </x:c>
    </x:row>
    <x:row r="52" ht="42" customHeight="1">
      <x:c r="A52" s="9" t="str">
        <x:v>J47</x:v>
      </x:c>
      <x:c r="B52" s="9" t="str">
        <x:v>Required top bolt-center allowance on pierced plate</x:v>
      </x:c>
      <x:c r="C52" s="19"/>
      <x:c r="D52" s="19"/>
      <x:c r="E52" s="9" t="str">
        <x:v>in</x:v>
      </x:c>
      <x:c r="F52" s="19"/>
      <x:c r="G52" s="19"/>
      <x:c r="H52" s="9" t="str">
        <x:v>Select from actual material and failure mode.</x:v>
      </x:c>
    </x:row>
    <x:row r="53" ht="42" customHeight="1">
      <x:c r="A53" s="3" t="str">
        <x:v>J48</x:v>
      </x:c>
      <x:c r="B53" s="3" t="str">
        <x:v>Required bottom bolt-center allowance on pierced plate</x:v>
      </x:c>
      <x:c r="C53" s="19"/>
      <x:c r="D53" s="19"/>
      <x:c r="E53" s="3" t="str">
        <x:v>in</x:v>
      </x:c>
      <x:c r="F53" s="19"/>
      <x:c r="G53" s="19"/>
      <x:c r="H53" s="3" t="str">
        <x:v>Both margins must be positive for the same-bar fit screen.</x:v>
      </x:c>
    </x:row>
    <x:row r="54" ht="42" customHeight="1">
      <x:c r="A54" s="9" t="str">
        <x:v>J49</x:v>
      </x:c>
      <x:c r="B54" s="9" t="str">
        <x:v>Actual top center-to-edge bolt allowance</x:v>
      </x:c>
      <x:c r="C54" s="19"/>
      <x:c r="D54" s="19"/>
      <x:c r="E54" s="9" t="str">
        <x:v>in</x:v>
      </x:c>
      <x:c r="F54" s="19"/>
      <x:c r="G54" s="19"/>
      <x:c r="H54" s="9" t="str">
        <x:v>Measure on the actual pierced plate, not along spine depth.</x:v>
      </x:c>
    </x:row>
    <x:row r="55" ht="42" customHeight="1">
      <x:c r="A55" s="3" t="str">
        <x:v>J50</x:v>
      </x:c>
      <x:c r="B55" s="3" t="str">
        <x:v>Actual bottom center-to-edge bolt allowance</x:v>
      </x:c>
      <x:c r="C55" s="19"/>
      <x:c r="D55" s="19"/>
      <x:c r="E55" s="3" t="str">
        <x:v>in</x:v>
      </x:c>
      <x:c r="F55" s="19"/>
      <x:c r="G55" s="19"/>
      <x:c r="H55" s="3" t="str">
        <x:v>Use applicable load direction and plate edge.</x:v>
      </x:c>
    </x:row>
    <x:row r="56" ht="42" customHeight="1">
      <x:c r="A56" s="9" t="str">
        <x:v>J51</x:v>
      </x:c>
      <x:c r="B56" s="9" t="str">
        <x:v>All wood/metal end, edge and spacing checks reviewed</x:v>
      </x:c>
      <x:c r="C56" s="19"/>
      <x:c r="D56" s="19"/>
      <x:c r="E56" s="9" t="str">
        <x:v>YES/NO</x:v>
      </x:c>
      <x:c r="F56" s="19"/>
      <x:c r="G56" s="19"/>
      <x:c r="H56" s="9" t="str">
        <x:v>Include grain direction, loaded/unloaded edges, hole clearance and bolt-group effects.</x:v>
      </x:c>
    </x:row>
    <x:row r="57" ht="42" customHeight="1">
      <x:c r="A57" s="3" t="str">
        <x:v>J52</x:v>
      </x:c>
      <x:c r="B57" s="3" t="str">
        <x:v>Free-body/contact/capacity calculation ID</x:v>
      </x:c>
      <x:c r="C57" s="19"/>
      <x:c r="D57" s="19"/>
      <x:c r="E57" s="3" t="str">
        <x:v>text</x:v>
      </x:c>
      <x:c r="F57" s="19"/>
      <x:c r="G57" s="19"/>
      <x:c r="H57" s="3" t="str">
        <x:v>Must resolve actual load path, local forces, prying and load distribution.</x:v>
      </x:c>
    </x:row>
    <x:row r="58" ht="42" customHeight="1">
      <x:c r="A58" s="9" t="str">
        <x:v>J53</x:v>
      </x:c>
      <x:c r="B58" s="9" t="str">
        <x:v>Both bolt rows pass through this same bar</x:v>
      </x:c>
      <x:c r="C58" s="19"/>
      <x:c r="D58" s="19"/>
      <x:c r="E58" s="9" t="str">
        <x:v>YES/NO</x:v>
      </x:c>
      <x:c r="F58" s="19"/>
      <x:c r="G58" s="19"/>
      <x:c r="H58" s="9" t="str">
        <x:v>YES invokes bar-height fit screen; NO requires dimensioned head-block/yoke review.</x:v>
      </x:c>
    </x:row>
    <x:row r="59" ht="42" customHeight="1">
      <x:c r="A59" s="3" t="str">
        <x:v>J54</x:v>
      </x:c>
      <x:c r="B59" s="3" t="str">
        <x:v>Bar center x coordinate</x:v>
      </x:c>
      <x:c r="C59" s="19"/>
      <x:c r="D59" s="19"/>
      <x:c r="E59" s="3" t="str">
        <x:v>in</x:v>
      </x:c>
      <x:c r="F59" s="19"/>
      <x:c r="G59" s="19"/>
      <x:c r="H59" s="3" t="str">
        <x:v>Used with Lx for actual left/right end margins.</x:v>
      </x:c>
    </x:row>
    <x:row r="60" ht="42" customHeight="1">
      <x:c r="A60" s="9" t="str">
        <x:v>J55</x:v>
      </x:c>
      <x:c r="B60" s="9" t="str">
        <x:v>Simple bar point-load model confirmed</x:v>
      </x:c>
      <x:c r="C60" s="19"/>
      <x:c r="D60" s="19"/>
      <x:c r="E60" s="9" t="str">
        <x:v>YES/NO</x:v>
      </x:c>
      <x:c r="F60" s="19"/>
      <x:c r="G60" s="19"/>
      <x:c r="H60" s="9" t="str">
        <x:v>YES only if each listed bar load equals the corresponding string force and support model applies.</x:v>
      </x:c>
    </x:row>
    <x:row r="61" ht="28" customHeight="1">
      <x:c r="A61" s="3"/>
      <x:c r="B61" s="3"/>
      <x:c r="C61" s="3"/>
      <x:c r="D61" s="3"/>
      <x:c r="E61" s="3"/>
      <x:c r="F61" s="3"/>
      <x:c r="G61" s="3"/>
      <x:c r="H61" s="3"/>
    </x:row>
    <x:row r="62" ht="30" customHeight="1">
      <x:c r="A62" s="8" t="str">
        <x:v>String-load / hole coordinates: actual loaded point and hole; attach detailed metal/wood hole drawing</x:v>
      </x:c>
      <x:c r="B62" s="8" t="str">
        <x:v>String-load / hole coordinates: actual loaded point and hole; attach detailed metal/wood hole drawing</x:v>
      </x:c>
      <x:c r="C62" s="8" t="str">
        <x:v>String-load / hole coordinates: actual loaded point and hole; attach detailed metal/wood hole drawing</x:v>
      </x:c>
      <x:c r="D62" s="8" t="str">
        <x:v>String-load / hole coordinates: actual loaded point and hole; attach detailed metal/wood hole drawing</x:v>
      </x:c>
      <x:c r="E62" s="8" t="str">
        <x:v>String-load / hole coordinates: actual loaded point and hole; attach detailed metal/wood hole drawing</x:v>
      </x:c>
      <x:c r="F62" s="8" t="str">
        <x:v>String-load / hole coordinates: actual loaded point and hole; attach detailed metal/wood hole drawing</x:v>
      </x:c>
      <x:c r="G62" s="8" t="str">
        <x:v>String-load / hole coordinates: actual loaded point and hole; attach detailed metal/wood hole drawing</x:v>
      </x:c>
      <x:c r="H62" s="8" t="str">
        <x:v>String-load / hole coordinates: actual loaded point and hole; attach detailed metal/wood hole drawing</x:v>
      </x:c>
    </x:row>
    <x:row r="63" ht="35" customHeight="1">
      <x:c r="A63" s="8" t="str">
        <x:v>Point ID</x:v>
      </x:c>
      <x:c r="B63" s="8" t="str">
        <x:v>Joint</x:v>
      </x:c>
      <x:c r="C63" s="8" t="str">
        <x:v>String</x:v>
      </x:c>
      <x:c r="D63" s="8" t="str">
        <x:v>x (in)</x:v>
      </x:c>
      <x:c r="E63" s="8" t="str">
        <x:v>y (in)</x:v>
      </x:c>
      <x:c r="F63" s="8" t="str">
        <x:v>z (in)</x:v>
      </x:c>
      <x:c r="G63" s="8" t="str">
        <x:v>Hole D (in)</x:v>
      </x:c>
      <x:c r="H63" s="8" t="str">
        <x:v>Measurement / drawing reference</x:v>
      </x:c>
    </x:row>
    <x:row r="64" ht="28" customHeight="1">
      <x:c r="A64" s="9" t="str">
        <x:v>U-S1</x:v>
      </x:c>
      <x:c r="B64" s="9" t="str">
        <x:v>Upper</x:v>
      </x:c>
      <x:c r="C64" s="9" t="n">
        <x:v>1</x:v>
      </x:c>
      <x:c r="D64" s="20"/>
      <x:c r="E64" s="20"/>
      <x:c r="F64" s="20"/>
      <x:c r="G64" s="20"/>
      <x:c r="H64" s="19"/>
    </x:row>
    <x:row r="65" ht="28" customHeight="1">
      <x:c r="A65" s="3" t="str">
        <x:v>U-S2</x:v>
      </x:c>
      <x:c r="B65" s="3" t="str">
        <x:v>Upper</x:v>
      </x:c>
      <x:c r="C65" s="3" t="n">
        <x:v>2</x:v>
      </x:c>
      <x:c r="D65" s="20"/>
      <x:c r="E65" s="20"/>
      <x:c r="F65" s="20"/>
      <x:c r="G65" s="20"/>
      <x:c r="H65" s="19"/>
    </x:row>
    <x:row r="66" ht="28" customHeight="1">
      <x:c r="A66" s="9" t="str">
        <x:v>U-S3</x:v>
      </x:c>
      <x:c r="B66" s="9" t="str">
        <x:v>Upper</x:v>
      </x:c>
      <x:c r="C66" s="9" t="n">
        <x:v>3</x:v>
      </x:c>
      <x:c r="D66" s="20"/>
      <x:c r="E66" s="20"/>
      <x:c r="F66" s="20"/>
      <x:c r="G66" s="20"/>
      <x:c r="H66" s="19"/>
    </x:row>
    <x:row r="67" ht="28" customHeight="1">
      <x:c r="A67" s="3" t="str">
        <x:v>U-S4</x:v>
      </x:c>
      <x:c r="B67" s="3" t="str">
        <x:v>Upper</x:v>
      </x:c>
      <x:c r="C67" s="3" t="n">
        <x:v>4</x:v>
      </x:c>
      <x:c r="D67" s="20"/>
      <x:c r="E67" s="20"/>
      <x:c r="F67" s="20"/>
      <x:c r="G67" s="20"/>
      <x:c r="H67" s="19"/>
    </x:row>
    <x:row r="68" ht="28" customHeight="1">
      <x:c r="A68" s="9" t="str">
        <x:v>U-S5</x:v>
      </x:c>
      <x:c r="B68" s="9" t="str">
        <x:v>Upper</x:v>
      </x:c>
      <x:c r="C68" s="9" t="n">
        <x:v>5</x:v>
      </x:c>
      <x:c r="D68" s="20"/>
      <x:c r="E68" s="20"/>
      <x:c r="F68" s="20"/>
      <x:c r="G68" s="20"/>
      <x:c r="H68" s="19"/>
    </x:row>
    <x:row r="69" ht="28" customHeight="1">
      <x:c r="A69" s="3" t="str">
        <x:v>L-S1</x:v>
      </x:c>
      <x:c r="B69" s="3" t="str">
        <x:v>Lower</x:v>
      </x:c>
      <x:c r="C69" s="3" t="n">
        <x:v>1</x:v>
      </x:c>
      <x:c r="D69" s="20"/>
      <x:c r="E69" s="20"/>
      <x:c r="F69" s="20"/>
      <x:c r="G69" s="20"/>
      <x:c r="H69" s="19"/>
    </x:row>
    <x:row r="70" ht="28" customHeight="1">
      <x:c r="A70" s="9" t="str">
        <x:v>L-S2</x:v>
      </x:c>
      <x:c r="B70" s="9" t="str">
        <x:v>Lower</x:v>
      </x:c>
      <x:c r="C70" s="9" t="n">
        <x:v>2</x:v>
      </x:c>
      <x:c r="D70" s="20"/>
      <x:c r="E70" s="20"/>
      <x:c r="F70" s="20"/>
      <x:c r="G70" s="20"/>
      <x:c r="H70" s="19"/>
    </x:row>
    <x:row r="71" ht="28" customHeight="1">
      <x:c r="A71" s="3" t="str">
        <x:v>L-S3</x:v>
      </x:c>
      <x:c r="B71" s="3" t="str">
        <x:v>Lower</x:v>
      </x:c>
      <x:c r="C71" s="3" t="n">
        <x:v>3</x:v>
      </x:c>
      <x:c r="D71" s="20"/>
      <x:c r="E71" s="20"/>
      <x:c r="F71" s="20"/>
      <x:c r="G71" s="20"/>
      <x:c r="H71" s="19"/>
    </x:row>
    <x:row r="72" ht="28" customHeight="1">
      <x:c r="A72" s="9" t="str">
        <x:v>L-S4</x:v>
      </x:c>
      <x:c r="B72" s="9" t="str">
        <x:v>Lower</x:v>
      </x:c>
      <x:c r="C72" s="9" t="n">
        <x:v>4</x:v>
      </x:c>
      <x:c r="D72" s="20"/>
      <x:c r="E72" s="20"/>
      <x:c r="F72" s="20"/>
      <x:c r="G72" s="20"/>
      <x:c r="H72" s="19"/>
    </x:row>
    <x:row r="73" ht="28" customHeight="1">
      <x:c r="A73" s="3" t="str">
        <x:v>L-S5</x:v>
      </x:c>
      <x:c r="B73" s="3" t="str">
        <x:v>Lower</x:v>
      </x:c>
      <x:c r="C73" s="3" t="n">
        <x:v>5</x:v>
      </x:c>
      <x:c r="D73" s="20"/>
      <x:c r="E73" s="20"/>
      <x:c r="F73" s="20"/>
      <x:c r="G73" s="20"/>
      <x:c r="H73" s="19"/>
    </x:row>
    <x:row r="74" ht="28" customHeight="1">
      <x:c r="A74" s="9"/>
      <x:c r="B74" s="9"/>
      <x:c r="C74" s="9"/>
      <x:c r="D74" s="9"/>
      <x:c r="E74" s="9"/>
      <x:c r="F74" s="9"/>
      <x:c r="G74" s="9"/>
      <x:c r="H74" s="9"/>
    </x:row>
    <x:row r="75" ht="28" customHeight="1">
      <x:c r="A75" s="3" t="str">
        <x:v>Record every bolt hole, plate edge, counterbore, bushing and loaded contact on the attached drawing. The ten rows above locate the five string loads at each end; they do not replace the complete hole map.</x:v>
      </x:c>
      <x:c r="B75" s="3" t="str">
        <x:v>Record every bolt hole, plate edge, counterbore, bushing and loaded contact on the attached drawing. The ten rows above locate the five string loads at each end; they do not replace the complete hole map.</x:v>
      </x:c>
      <x:c r="C75" s="3" t="str">
        <x:v>Record every bolt hole, plate edge, counterbore, bushing and loaded contact on the attached drawing. The ten rows above locate the five string loads at each end; they do not replace the complete hole map.</x:v>
      </x:c>
      <x:c r="D75" s="3" t="str">
        <x:v>Record every bolt hole, plate edge, counterbore, bushing and loaded contact on the attached drawing. The ten rows above locate the five string loads at each end; they do not replace the complete hole map.</x:v>
      </x:c>
      <x:c r="E75" s="3" t="str">
        <x:v>Record every bolt hole, plate edge, counterbore, bushing and loaded contact on the attached drawing. The ten rows above locate the five string loads at each end; they do not replace the complete hole map.</x:v>
      </x:c>
      <x:c r="F75" s="3" t="str">
        <x:v>Record every bolt hole, plate edge, counterbore, bushing and loaded contact on the attached drawing. The ten rows above locate the five string loads at each end; they do not replace the complete hole map.</x:v>
      </x:c>
      <x:c r="G75" s="3" t="str">
        <x:v>Record every bolt hole, plate edge, counterbore, bushing and loaded contact on the attached drawing. The ten rows above locate the five string loads at each end; they do not replace the complete hole map.</x:v>
      </x:c>
      <x:c r="H75" s="3" t="str">
        <x:v>Record every bolt hole, plate edge, counterbore, bushing and loaded contact on the attached drawing. The ten rows above locate the five string loads at each end; they do not replace the complete hole map.</x:v>
      </x:c>
    </x:row>
    <x:row r="76" ht="28" customHeight="1">
      <x:c r="A76" s="9" t="str">
        <x:v>Record every bolt hole, plate edge, counterbore, bushing and loaded contact on the attached drawing. The ten rows above locate the five string loads at each end; they do not replace the complete hole map.</x:v>
      </x:c>
      <x:c r="B76" s="9" t="str">
        <x:v>Record every bolt hole, plate edge, counterbore, bushing and loaded contact on the attached drawing. The ten rows above locate the five string loads at each end; they do not replace the complete hole map.</x:v>
      </x:c>
      <x:c r="C76" s="9" t="str">
        <x:v>Record every bolt hole, plate edge, counterbore, bushing and loaded contact on the attached drawing. The ten rows above locate the five string loads at each end; they do not replace the complete hole map.</x:v>
      </x:c>
      <x:c r="D76" s="9" t="str">
        <x:v>Record every bolt hole, plate edge, counterbore, bushing and loaded contact on the attached drawing. The ten rows above locate the five string loads at each end; they do not replace the complete hole map.</x:v>
      </x:c>
      <x:c r="E76" s="9" t="str">
        <x:v>Record every bolt hole, plate edge, counterbore, bushing and loaded contact on the attached drawing. The ten rows above locate the five string loads at each end; they do not replace the complete hole map.</x:v>
      </x:c>
      <x:c r="F76" s="9" t="str">
        <x:v>Record every bolt hole, plate edge, counterbore, bushing and loaded contact on the attached drawing. The ten rows above locate the five string loads at each end; they do not replace the complete hole map.</x:v>
      </x:c>
      <x:c r="G76" s="9" t="str">
        <x:v>Record every bolt hole, plate edge, counterbore, bushing and loaded contact on the attached drawing. The ten rows above locate the five string loads at each end; they do not replace the complete hole map.</x:v>
      </x:c>
      <x:c r="H76" s="9" t="str">
        <x:v>Record every bolt hole, plate edge, counterbore, bushing and loaded contact on the attached drawing. The ten rows above locate the five string loads at each end; they do not replace the complete hole map.</x:v>
      </x:c>
    </x:row>
    <x:row r="77" ht="28" customHeight="1">
      <x:c r="A77" s="3"/>
      <x:c r="B77" s="3"/>
      <x:c r="C77" s="3"/>
      <x:c r="D77" s="3"/>
      <x:c r="E77" s="3"/>
      <x:c r="F77" s="3"/>
      <x:c r="G77" s="3"/>
      <x:c r="H77" s="3"/>
    </x:row>
  </x:sheetData>
  <x:mergeCells>
    <x:mergeCell ref="A1:H2"/>
    <x:mergeCell ref="A3:H3"/>
    <x:mergeCell ref="A62:H62"/>
    <x:mergeCell ref="A75:H76"/>
  </x:mergeCells>
  <x:dataValidations count="6">
    <x:dataValidation type="list" sqref="C56">
      <x:formula1>"YES,NO"</x:formula1>
    </x:dataValidation>
    <x:dataValidation type="list" sqref="C58">
      <x:formula1>"YES,NO"</x:formula1>
    </x:dataValidation>
    <x:dataValidation type="list" sqref="C60">
      <x:formula1>"YES,NO"</x:formula1>
    </x:dataValidation>
    <x:dataValidation type="list" sqref="D56">
      <x:formula1>"YES,NO"</x:formula1>
    </x:dataValidation>
    <x:dataValidation type="list" sqref="D58">
      <x:formula1>"YES,NO"</x:formula1>
    </x:dataValidation>
    <x:dataValidation type="list" sqref="D60">
      <x:formula1>"YES,NO"</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4" hidden="0" customWidth="1"/>
    <x:col min="4" max="4" width="14" hidden="0" customWidth="1"/>
    <x:col min="5" max="5" width="19" hidden="0" customWidth="1"/>
    <x:col min="6" max="6" width="17" hidden="0" customWidth="1"/>
    <x:col min="7" max="7" width="17" hidden="0" customWidth="1"/>
    <x:col min="8" max="8" width="20" hidden="0" customWidth="1"/>
    <x:col min="9" max="9" width="19" hidden="0" customWidth="1"/>
    <x:col min="10" max="10" width="19" hidden="0" customWidth="1"/>
    <x:col min="11" max="11" width="43" hidden="0" customWidth="1"/>
    <x:col min="12" max="12" width="18" hidden="0" customWidth="1"/>
    <x:col min="13" max="13" width="18" hidden="0" customWidth="1"/>
  </x:cols>
  <x:sheetData>
    <x:row r="1" ht="28" customHeight="1">
      <x:c r="A1" s="5" t="str">
        <x:v>Actual strings | Bounded loads &amp; reviewed limits</x:v>
      </x:c>
      <x:c r="B1" s="5" t="str">
        <x:v>Actual strings | Bounded loads &amp; reviewed limits</x:v>
      </x:c>
      <x:c r="C1" s="5" t="str">
        <x:v>Actual strings | Bounded loads &amp; reviewed limits</x:v>
      </x:c>
      <x:c r="D1" s="5" t="str">
        <x:v>Actual strings | Bounded loads &amp; reviewed limits</x:v>
      </x:c>
      <x:c r="E1" s="5" t="str">
        <x:v>Actual strings | Bounded loads &amp; reviewed limits</x:v>
      </x:c>
      <x:c r="F1" s="5" t="str">
        <x:v>Actual strings | Bounded loads &amp; reviewed limits</x:v>
      </x:c>
      <x:c r="G1" s="5" t="str">
        <x:v>Actual strings | Bounded loads &amp; reviewed limits</x:v>
      </x:c>
      <x:c r="H1" s="5" t="str">
        <x:v>Actual strings | Bounded loads &amp; reviewed limits</x:v>
      </x:c>
      <x:c r="I1" s="5" t="str">
        <x:v>Actual strings | Bounded loads &amp; reviewed limits</x:v>
      </x:c>
      <x:c r="J1" s="5" t="str">
        <x:v>Actual strings | Bounded loads &amp; reviewed limits</x:v>
      </x:c>
      <x:c r="K1" s="5" t="str">
        <x:v>Actual strings | Bounded loads &amp; reviewed limits</x:v>
      </x:c>
      <x:c r="L1" s="5" t="str">
        <x:v>Actual strings | Bounded loads &amp; reviewed limits</x:v>
      </x:c>
      <x:c r="M1" s="5" t="str">
        <x:v>Actual strings | Bounded loads &amp; reviewed limits</x:v>
      </x:c>
    </x:row>
    <x:row r="2" ht="28" customHeight="1">
      <x:c r="A2" s="5" t="str">
        <x:v>Actual strings | Bounded loads &amp; reviewed limits</x:v>
      </x:c>
      <x:c r="B2" s="5" t="str">
        <x:v>Actual strings | Bounded loads &amp; reviewed limits</x:v>
      </x:c>
      <x:c r="C2" s="5" t="str">
        <x:v>Actual strings | Bounded loads &amp; reviewed limits</x:v>
      </x:c>
      <x:c r="D2" s="5" t="str">
        <x:v>Actual strings | Bounded loads &amp; reviewed limits</x:v>
      </x:c>
      <x:c r="E2" s="5" t="str">
        <x:v>Actual strings | Bounded loads &amp; reviewed limits</x:v>
      </x:c>
      <x:c r="F2" s="5" t="str">
        <x:v>Actual strings | Bounded loads &amp; reviewed limits</x:v>
      </x:c>
      <x:c r="G2" s="5" t="str">
        <x:v>Actual strings | Bounded loads &amp; reviewed limits</x:v>
      </x:c>
      <x:c r="H2" s="5" t="str">
        <x:v>Actual strings | Bounded loads &amp; reviewed limits</x:v>
      </x:c>
      <x:c r="I2" s="5" t="str">
        <x:v>Actual strings | Bounded loads &amp; reviewed limits</x:v>
      </x:c>
      <x:c r="J2" s="5" t="str">
        <x:v>Actual strings | Bounded loads &amp; reviewed limits</x:v>
      </x:c>
      <x:c r="K2" s="5" t="str">
        <x:v>Actual strings | Bounded loads &amp; reviewed limits</x:v>
      </x:c>
      <x:c r="L2" s="5" t="str">
        <x:v>Actual strings | Bounded loads &amp; reviewed limits</x:v>
      </x:c>
      <x:c r="M2" s="5" t="str">
        <x:v>Actual strings | Bounded loads &amp; reviewed limits</x:v>
      </x:c>
    </x:row>
    <x:row r="3" ht="43" customHeight="1">
      <x:c r="A3" s="6" t="str">
        <x:v>NO STRING IS SELECTED HERE. Enter exact product/lot, measured speaking length and chosen pitch, with manufacturer data and bounds.</x:v>
      </x:c>
      <x:c r="B3" s="6" t="str">
        <x:v>NO STRING IS SELECTED HERE. Enter exact product/lot, measured speaking length and chosen pitch, with manufacturer data and bounds.</x:v>
      </x:c>
      <x:c r="C3" s="6" t="str">
        <x:v>NO STRING IS SELECTED HERE. Enter exact product/lot, measured speaking length and chosen pitch, with manufacturer data and bounds.</x:v>
      </x:c>
      <x:c r="D3" s="6" t="str">
        <x:v>NO STRING IS SELECTED HERE. Enter exact product/lot, measured speaking length and chosen pitch, with manufacturer data and bounds.</x:v>
      </x:c>
      <x:c r="E3" s="6" t="str">
        <x:v>NO STRING IS SELECTED HERE. Enter exact product/lot, measured speaking length and chosen pitch, with manufacturer data and bounds.</x:v>
      </x:c>
      <x:c r="F3" s="6" t="str">
        <x:v>NO STRING IS SELECTED HERE. Enter exact product/lot, measured speaking length and chosen pitch, with manufacturer data and bounds.</x:v>
      </x:c>
      <x:c r="G3" s="6" t="str">
        <x:v>NO STRING IS SELECTED HERE. Enter exact product/lot, measured speaking length and chosen pitch, with manufacturer data and bounds.</x:v>
      </x:c>
      <x:c r="H3" s="6" t="str">
        <x:v>NO STRING IS SELECTED HERE. Enter exact product/lot, measured speaking length and chosen pitch, with manufacturer data and bounds.</x:v>
      </x:c>
      <x:c r="I3" s="6" t="str">
        <x:v>NO STRING IS SELECTED HERE. Enter exact product/lot, measured speaking length and chosen pitch, with manufacturer data and bounds.</x:v>
      </x:c>
      <x:c r="J3" s="6" t="str">
        <x:v>NO STRING IS SELECTED HERE. Enter exact product/lot, measured speaking length and chosen pitch, with manufacturer data and bounds.</x:v>
      </x:c>
      <x:c r="K3" s="6" t="str">
        <x:v>NO STRING IS SELECTED HERE. Enter exact product/lot, measured speaking length and chosen pitch, with manufacturer data and bounds.</x:v>
      </x:c>
      <x:c r="L3" s="6" t="str">
        <x:v>NO STRING IS SELECTED HERE. Enter exact product/lot, measured speaking length and chosen pitch, with manufacturer data and bounds.</x:v>
      </x:c>
      <x:c r="M3" s="6" t="str">
        <x:v>NO STRING IS SELECTED HERE. Enter exact product/lot, measured speaking length and chosen pitch, with manufacturer data and bounds.</x:v>
      </x:c>
    </x:row>
    <x:row r="4" ht="28" customHeight="1">
      <x:c r="A4" s="3"/>
      <x:c r="B4" s="3"/>
      <x:c r="C4" s="3"/>
      <x:c r="D4" s="3"/>
      <x:c r="E4" s="3"/>
      <x:c r="F4" s="3"/>
      <x:c r="G4" s="3"/>
      <x:c r="H4" s="3"/>
      <x:c r="I4" s="3"/>
      <x:c r="J4" s="3"/>
      <x:c r="K4" s="3"/>
      <x:c r="L4" s="3"/>
      <x:c r="M4" s="3"/>
    </x:row>
    <x:row r="5" ht="36" customHeight="1">
      <x:c r="A5" s="8" t="str">
        <x:v>String</x:v>
      </x:c>
      <x:c r="B5" s="8" t="str">
        <x:v>Product / core / lot</x:v>
      </x:c>
      <x:c r="C5" s="8" t="str">
        <x:v>L (in)</x:v>
      </x:c>
      <x:c r="D5" s="8" t="str">
        <x:v>f (Hz)</x:v>
      </x:c>
      <x:c r="E5" s="8" t="str">
        <x:v>UW (lb/in)</x:v>
      </x:c>
      <x:c r="F5" s="8" t="str">
        <x:v>dL bound (in)</x:v>
      </x:c>
      <x:c r="G5" s="8" t="str">
        <x:v>df bound (Hz)</x:v>
      </x:c>
      <x:c r="H5" s="8" t="str">
        <x:v>dUW bound (fraction)</x:v>
      </x:c>
      <x:c r="I5" s="8" t="str">
        <x:v>x from axis (in)</x:v>
      </x:c>
      <x:c r="J5" s="8" t="str">
        <x:v>c from face (in)</x:v>
      </x:c>
      <x:c r="K5" s="8" t="str">
        <x:v>Evidence / bounds ref</x:v>
      </x:c>
      <x:c r="L5" s="8" t="str">
        <x:v>T nominal (lbf)</x:v>
      </x:c>
      <x:c r="M5" s="8" t="str">
        <x:v>T upper (lbf)</x:v>
      </x:c>
    </x:row>
    <x:row r="6" ht="28" customHeight="1">
      <x:c r="A6" s="9" t="str">
        <x:v>S1</x:v>
      </x:c>
      <x:c r="B6" s="19"/>
      <x:c r="C6" s="20"/>
      <x:c r="D6" s="20"/>
      <x:c r="E6" s="22"/>
      <x:c r="F6" s="20"/>
      <x:c r="G6" s="20"/>
      <x:c r="H6" s="23"/>
      <x:c r="I6" s="20"/>
      <x:c r="J6" s="20"/>
      <x:c r="K6" s="19"/>
      <x:c r="L6" s="24" t="str">
        <x:f>IF(AND(ISNUMBER(C6),C6&gt;0,ISNUMBER(D6),D6&gt;0,ISNUMBER(E6),E6&gt;0),E6*(2*C6*D6)^2/'Guide'!$B$16,"")</x:f>
      </x:c>
      <x:c r="M6" s="24" t="str">
        <x:f>IF(AND(AND(ISNUMBER(C6),C6&gt;0,ISNUMBER(D6),D6&gt;0,ISNUMBER(E6),E6&gt;0),AND(ISNUMBER(F6),F6&gt;=0,ISNUMBER(G6),G6&gt;=0,ISNUMBER(H6),H6&gt;=0)),E6*(1+H6)*(2*(C6+F6)*(D6+G6))^2/'Guide'!$B$16,"")</x:f>
      </x:c>
    </x:row>
    <x:row r="7" ht="28" customHeight="1">
      <x:c r="A7" s="3" t="str">
        <x:v>S2</x:v>
      </x:c>
      <x:c r="B7" s="19"/>
      <x:c r="C7" s="20"/>
      <x:c r="D7" s="20"/>
      <x:c r="E7" s="22"/>
      <x:c r="F7" s="20"/>
      <x:c r="G7" s="20"/>
      <x:c r="H7" s="23"/>
      <x:c r="I7" s="20"/>
      <x:c r="J7" s="20"/>
      <x:c r="K7" s="19"/>
      <x:c r="L7" s="25" t="str">
        <x:f>IF(AND(ISNUMBER(C7),C7&gt;0,ISNUMBER(D7),D7&gt;0,ISNUMBER(E7),E7&gt;0),E7*(2*C7*D7)^2/'Guide'!$B$16,"")</x:f>
      </x:c>
      <x:c r="M7" s="25" t="str">
        <x:f>IF(AND(AND(ISNUMBER(C7),C7&gt;0,ISNUMBER(D7),D7&gt;0,ISNUMBER(E7),E7&gt;0),AND(ISNUMBER(F7),F7&gt;=0,ISNUMBER(G7),G7&gt;=0,ISNUMBER(H7),H7&gt;=0)),E7*(1+H7)*(2*(C7+F7)*(D7+G7))^2/'Guide'!$B$16,"")</x:f>
      </x:c>
    </x:row>
    <x:row r="8" ht="28" customHeight="1">
      <x:c r="A8" s="9" t="str">
        <x:v>S3</x:v>
      </x:c>
      <x:c r="B8" s="19"/>
      <x:c r="C8" s="20"/>
      <x:c r="D8" s="20"/>
      <x:c r="E8" s="22"/>
      <x:c r="F8" s="20"/>
      <x:c r="G8" s="20"/>
      <x:c r="H8" s="23"/>
      <x:c r="I8" s="20"/>
      <x:c r="J8" s="20"/>
      <x:c r="K8" s="19"/>
      <x:c r="L8" s="24" t="str">
        <x:f>IF(AND(ISNUMBER(C8),C8&gt;0,ISNUMBER(D8),D8&gt;0,ISNUMBER(E8),E8&gt;0),E8*(2*C8*D8)^2/'Guide'!$B$16,"")</x:f>
      </x:c>
      <x:c r="M8" s="24" t="str">
        <x:f>IF(AND(AND(ISNUMBER(C8),C8&gt;0,ISNUMBER(D8),D8&gt;0,ISNUMBER(E8),E8&gt;0),AND(ISNUMBER(F8),F8&gt;=0,ISNUMBER(G8),G8&gt;=0,ISNUMBER(H8),H8&gt;=0)),E8*(1+H8)*(2*(C8+F8)*(D8+G8))^2/'Guide'!$B$16,"")</x:f>
      </x:c>
    </x:row>
    <x:row r="9" ht="28" customHeight="1">
      <x:c r="A9" s="3" t="str">
        <x:v>S4</x:v>
      </x:c>
      <x:c r="B9" s="19"/>
      <x:c r="C9" s="20"/>
      <x:c r="D9" s="20"/>
      <x:c r="E9" s="22"/>
      <x:c r="F9" s="20"/>
      <x:c r="G9" s="20"/>
      <x:c r="H9" s="23"/>
      <x:c r="I9" s="20"/>
      <x:c r="J9" s="20"/>
      <x:c r="K9" s="19"/>
      <x:c r="L9" s="25" t="str">
        <x:f>IF(AND(ISNUMBER(C9),C9&gt;0,ISNUMBER(D9),D9&gt;0,ISNUMBER(E9),E9&gt;0),E9*(2*C9*D9)^2/'Guide'!$B$16,"")</x:f>
      </x:c>
      <x:c r="M9" s="25" t="str">
        <x:f>IF(AND(AND(ISNUMBER(C9),C9&gt;0,ISNUMBER(D9),D9&gt;0,ISNUMBER(E9),E9&gt;0),AND(ISNUMBER(F9),F9&gt;=0,ISNUMBER(G9),G9&gt;=0,ISNUMBER(H9),H9&gt;=0)),E9*(1+H9)*(2*(C9+F9)*(D9+G9))^2/'Guide'!$B$16,"")</x:f>
      </x:c>
    </x:row>
    <x:row r="10" ht="28" customHeight="1">
      <x:c r="A10" s="9" t="str">
        <x:v>S5</x:v>
      </x:c>
      <x:c r="B10" s="19"/>
      <x:c r="C10" s="20"/>
      <x:c r="D10" s="20"/>
      <x:c r="E10" s="22"/>
      <x:c r="F10" s="20"/>
      <x:c r="G10" s="20"/>
      <x:c r="H10" s="23"/>
      <x:c r="I10" s="20"/>
      <x:c r="J10" s="20"/>
      <x:c r="K10" s="19"/>
      <x:c r="L10" s="24" t="str">
        <x:f>IF(AND(ISNUMBER(C10),C10&gt;0,ISNUMBER(D10),D10&gt;0,ISNUMBER(E10),E10&gt;0),E10*(2*C10*D10)^2/'Guide'!$B$16,"")</x:f>
      </x:c>
      <x:c r="M10" s="24" t="str">
        <x:f>IF(AND(AND(ISNUMBER(C10),C10&gt;0,ISNUMBER(D10),D10&gt;0,ISNUMBER(E10),E10&gt;0),AND(ISNUMBER(F10),F10&gt;=0,ISNUMBER(G10),G10&gt;=0,ISNUMBER(H10),H10&gt;=0)),E10*(1+H10)*(2*(C10+F10)*(D10+G10))^2/'Guide'!$B$16,"")</x:f>
      </x:c>
    </x:row>
    <x:row r="11" ht="28" customHeight="1">
      <x:c r="A11" s="3"/>
      <x:c r="B11" s="3"/>
      <x:c r="C11" s="3"/>
      <x:c r="D11" s="3"/>
      <x:c r="E11" s="3"/>
      <x:c r="F11" s="3"/>
      <x:c r="G11" s="3"/>
      <x:c r="H11" s="3"/>
      <x:c r="I11" s="3"/>
      <x:c r="J11" s="3"/>
      <x:c r="K11" s="3"/>
      <x:c r="L11" s="25"/>
      <x:c r="M11" s="25"/>
    </x:row>
    <x:row r="12" ht="28" customHeight="1">
      <x:c r="A12" s="9" t="str">
        <x:v>TOTAL</x:v>
      </x:c>
      <x:c r="B12" s="9"/>
      <x:c r="C12" s="9"/>
      <x:c r="D12" s="9"/>
      <x:c r="E12" s="9"/>
      <x:c r="F12" s="9"/>
      <x:c r="G12" s="9"/>
      <x:c r="H12" s="9"/>
      <x:c r="I12" s="9"/>
      <x:c r="J12" s="9"/>
      <x:c r="K12" s="9"/>
      <x:c r="L12" s="24" t="str">
        <x:f>IF(COUNT(L6:L10)='Guide'!$B$13,SUM(L6:L10),"")</x:f>
      </x:c>
      <x:c r="M12" s="24" t="str">
        <x:f>IF(COUNT(M6:M10)='Guide'!$B$13,SUM(M6:M10),"")</x:f>
      </x:c>
    </x:row>
    <x:row r="13" ht="28" customHeight="1">
      <x:c r="A13" s="3"/>
      <x:c r="B13" s="3"/>
      <x:c r="C13" s="3"/>
      <x:c r="D13" s="3"/>
      <x:c r="E13" s="3"/>
      <x:c r="F13" s="3"/>
      <x:c r="G13" s="3"/>
      <x:c r="H13" s="3"/>
      <x:c r="I13" s="3"/>
      <x:c r="J13" s="3"/>
      <x:c r="K13" s="3"/>
      <x:c r="L13" s="3"/>
      <x:c r="M13" s="3"/>
    </x:row>
    <x:row r="14" ht="28" customHeight="1">
      <x:c r="A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B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C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D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E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F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G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H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I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J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K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L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c r="M14" s="9" t="str">
        <x:v>Bounds are one-sided maxima, not a statistical confidence interval: T_upper uses UW x (1+dUW), L+dL and f+df. Record the bounds source. Zero is a deliberate documented bound, never a placeholder. Manufacturer safe pitch/scale and local bearing/termination limits still govern.</x:v>
      </x:c>
    </x:row>
    <x:row r="15" ht="28" customHeight="1">
      <x:c r="A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B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C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D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E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F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G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H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I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J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K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L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c r="M15" s="3" t="str">
        <x:v>Bounds are one-sided maxima, not a statistical confidence interval: T_upper uses UW x (1+dUW), L+dL and f+df. Record the bounds source. Zero is a deliberate documented bound, never a placeholder. Manufacturer safe pitch/scale and local bearing/termination limits still govern.</x:v>
      </x:c>
    </x:row>
    <x:row r="16" ht="28" customHeight="1">
      <x:c r="A16" s="9"/>
      <x:c r="B16" s="9"/>
      <x:c r="C16" s="9"/>
      <x:c r="D16" s="9"/>
      <x:c r="E16" s="9"/>
      <x:c r="F16" s="9"/>
      <x:c r="G16" s="9"/>
      <x:c r="H16" s="9"/>
      <x:c r="I16" s="9"/>
      <x:c r="J16" s="9"/>
      <x:c r="K16" s="9"/>
      <x:c r="L16" s="9"/>
      <x:c r="M16" s="9"/>
    </x:row>
    <x:row r="17" ht="30" customHeight="1">
      <x:c r="A17" s="8" t="str">
        <x:v>Reviewed individual working limits (same configuration; record raw rating type and factors once)</x:v>
      </x:c>
      <x:c r="B17" s="8" t="str">
        <x:v>Reviewed individual working limits (same configuration; record raw rating type and factors once)</x:v>
      </x:c>
      <x:c r="C17" s="8" t="str">
        <x:v>Reviewed individual working limits (same configuration; record raw rating type and factors once)</x:v>
      </x:c>
      <x:c r="D17" s="8" t="str">
        <x:v>Reviewed individual working limits (same configuration; record raw rating type and factors once)</x:v>
      </x:c>
      <x:c r="E17" s="8" t="str">
        <x:v>Reviewed individual working limits (same configuration; record raw rating type and factors once)</x:v>
      </x:c>
      <x:c r="F17" s="8" t="str">
        <x:v>Reviewed individual working limits (same configuration; record raw rating type and factors once)</x:v>
      </x:c>
      <x:c r="G17" s="8" t="str">
        <x:v>Reviewed individual working limits (same configuration; record raw rating type and factors once)</x:v>
      </x:c>
      <x:c r="H17" s="8" t="str">
        <x:v>Reviewed individual working limits (same configuration; record raw rating type and factors once)</x:v>
      </x:c>
      <x:c r="I17" s="8" t="str">
        <x:v>Reviewed individual working limits (same configuration; record raw rating type and factors once)</x:v>
      </x:c>
      <x:c r="J17" s="8" t="str">
        <x:v>Reviewed individual working limits (same configuration; record raw rating type and factors once)</x:v>
      </x:c>
      <x:c r="K17" s="8" t="str">
        <x:v>Reviewed individual working limits (same configuration; record raw rating type and factors once)</x:v>
      </x:c>
      <x:c r="L17" s="8" t="str">
        <x:v>Reviewed individual working limits (same configuration; record raw rating type and factors once)</x:v>
      </x:c>
      <x:c r="M17" s="8" t="str">
        <x:v>Reviewed individual working limits (same configuration; record raw rating type and factors once)</x:v>
      </x:c>
    </x:row>
    <x:row r="18" ht="45" customHeight="1">
      <x:c r="A18" s="8" t="str">
        <x:v>String</x:v>
      </x:c>
      <x:c r="B18" s="8" t="str">
        <x:v>String safe limit (lbf)</x:v>
      </x:c>
      <x:c r="C18" s="8" t="str">
        <x:v>Tuner limit (lbf)</x:v>
      </x:c>
      <x:c r="D18" s="8" t="str">
        <x:v>Termination limit (lbf)</x:v>
      </x:c>
      <x:c r="E18" s="8" t="str">
        <x:v>Adjusted basis / factors</x:v>
      </x:c>
      <x:c r="F18" s="8" t="str">
        <x:v>Review date</x:v>
      </x:c>
      <x:c r="G18" s="8" t="str">
        <x:v>Reviewer</x:v>
      </x:c>
      <x:c r="H18" s="8" t="str">
        <x:v>Governing limit (lbf)</x:v>
      </x:c>
      <x:c r="I18" s="8" t="str">
        <x:v>T upper (lbf)</x:v>
      </x:c>
      <x:c r="J18" s="8" t="str">
        <x:v>Utilization</x:v>
      </x:c>
      <x:c r="K18" s="8" t="str">
        <x:v>Status</x:v>
      </x:c>
      <x:c r="L18" s="8" t="str">
        <x:v>Source / calculation IDs</x:v>
      </x:c>
      <x:c r="M18" s="8" t="str">
        <x:v>Safe pitch &amp; scale range</x:v>
      </x:c>
    </x:row>
    <x:row r="19" ht="58" customHeight="1">
      <x:c r="A19" s="3" t="str">
        <x:v>S1</x:v>
      </x:c>
      <x:c r="B19" s="27"/>
      <x:c r="C19" s="27"/>
      <x:c r="D19" s="27"/>
      <x:c r="E19" s="27"/>
      <x:c r="F19" s="28"/>
      <x:c r="G19" s="27"/>
      <x:c r="H19" s="3" t="str">
        <x:f>IF(AND(ISNUMBER(B19),B19&gt;0,ISNUMBER(C19),C19&gt;0,ISNUMBER(D19),D19&gt;0),MIN(B19:D19,'Guide'!$B$14),"")</x:f>
      </x:c>
      <x:c r="I19" s="3" t="str">
        <x:f>IF(ISNUMBER(M6),M6,"")</x:f>
      </x:c>
      <x:c r="J19" s="25" t="str">
        <x:f>IF(AND(ISNUMBER(I19),AND(ISNUMBER(H19),H19&gt;0)),I19/H19,"")</x:f>
      </x:c>
      <x:c r="K19" s="3" t="str">
        <x:f>IF(OR(NOT(ISNUMBER(J19)),E19="",NOT(ISNUMBER(F19)),G19="",L19="",M19=""),"OPEN",IF(J19&gt;1,"EXCEEDS","RECORDED"))</x:f>
        <x:v>OPEN</x:v>
      </x:c>
      <x:c r="L19" s="27"/>
      <x:c r="M19" s="27"/>
    </x:row>
    <x:row r="20" ht="58" customHeight="1">
      <x:c r="A20" s="9" t="str">
        <x:v>S2</x:v>
      </x:c>
      <x:c r="B20" s="27"/>
      <x:c r="C20" s="27"/>
      <x:c r="D20" s="27"/>
      <x:c r="E20" s="27"/>
      <x:c r="F20" s="28"/>
      <x:c r="G20" s="27"/>
      <x:c r="H20" s="9" t="str">
        <x:f>IF(AND(ISNUMBER(B20),B20&gt;0,ISNUMBER(C20),C20&gt;0,ISNUMBER(D20),D20&gt;0),MIN(B20:D20,'Guide'!$B$14),"")</x:f>
      </x:c>
      <x:c r="I20" s="9" t="str">
        <x:f>IF(ISNUMBER(M7),M7,"")</x:f>
      </x:c>
      <x:c r="J20" s="24" t="str">
        <x:f>IF(AND(ISNUMBER(I20),AND(ISNUMBER(H20),H20&gt;0)),I20/H20,"")</x:f>
      </x:c>
      <x:c r="K20" s="9" t="str">
        <x:f>IF(OR(NOT(ISNUMBER(J20)),E20="",NOT(ISNUMBER(F20)),G20="",L20="",M20=""),"OPEN",IF(J20&gt;1,"EXCEEDS","RECORDED"))</x:f>
        <x:v>OPEN</x:v>
      </x:c>
      <x:c r="L20" s="27"/>
      <x:c r="M20" s="27"/>
    </x:row>
    <x:row r="21" ht="58" customHeight="1">
      <x:c r="A21" s="3" t="str">
        <x:v>S3</x:v>
      </x:c>
      <x:c r="B21" s="27"/>
      <x:c r="C21" s="27"/>
      <x:c r="D21" s="27"/>
      <x:c r="E21" s="27"/>
      <x:c r="F21" s="28"/>
      <x:c r="G21" s="27"/>
      <x:c r="H21" s="3" t="str">
        <x:f>IF(AND(ISNUMBER(B21),B21&gt;0,ISNUMBER(C21),C21&gt;0,ISNUMBER(D21),D21&gt;0),MIN(B21:D21,'Guide'!$B$14),"")</x:f>
      </x:c>
      <x:c r="I21" s="3" t="str">
        <x:f>IF(ISNUMBER(M8),M8,"")</x:f>
      </x:c>
      <x:c r="J21" s="25" t="str">
        <x:f>IF(AND(ISNUMBER(I21),AND(ISNUMBER(H21),H21&gt;0)),I21/H21,"")</x:f>
      </x:c>
      <x:c r="K21" s="3" t="str">
        <x:f>IF(OR(NOT(ISNUMBER(J21)),E21="",NOT(ISNUMBER(F21)),G21="",L21="",M21=""),"OPEN",IF(J21&gt;1,"EXCEEDS","RECORDED"))</x:f>
        <x:v>OPEN</x:v>
      </x:c>
      <x:c r="L21" s="27"/>
      <x:c r="M21" s="27"/>
    </x:row>
    <x:row r="22" ht="58" customHeight="1">
      <x:c r="A22" s="9" t="str">
        <x:v>S4</x:v>
      </x:c>
      <x:c r="B22" s="27"/>
      <x:c r="C22" s="27"/>
      <x:c r="D22" s="27"/>
      <x:c r="E22" s="27"/>
      <x:c r="F22" s="28"/>
      <x:c r="G22" s="27"/>
      <x:c r="H22" s="9" t="str">
        <x:f>IF(AND(ISNUMBER(B22),B22&gt;0,ISNUMBER(C22),C22&gt;0,ISNUMBER(D22),D22&gt;0),MIN(B22:D22,'Guide'!$B$14),"")</x:f>
      </x:c>
      <x:c r="I22" s="9" t="str">
        <x:f>IF(ISNUMBER(M9),M9,"")</x:f>
      </x:c>
      <x:c r="J22" s="24" t="str">
        <x:f>IF(AND(ISNUMBER(I22),AND(ISNUMBER(H22),H22&gt;0)),I22/H22,"")</x:f>
      </x:c>
      <x:c r="K22" s="9" t="str">
        <x:f>IF(OR(NOT(ISNUMBER(J22)),E22="",NOT(ISNUMBER(F22)),G22="",L22="",M22=""),"OPEN",IF(J22&gt;1,"EXCEEDS","RECORDED"))</x:f>
        <x:v>OPEN</x:v>
      </x:c>
      <x:c r="L22" s="27"/>
      <x:c r="M22" s="27"/>
    </x:row>
    <x:row r="23" ht="58" customHeight="1">
      <x:c r="A23" s="3" t="str">
        <x:v>S5</x:v>
      </x:c>
      <x:c r="B23" s="27"/>
      <x:c r="C23" s="27"/>
      <x:c r="D23" s="27"/>
      <x:c r="E23" s="27"/>
      <x:c r="F23" s="28"/>
      <x:c r="G23" s="27"/>
      <x:c r="H23" s="3" t="str">
        <x:f>IF(AND(ISNUMBER(B23),B23&gt;0,ISNUMBER(C23),C23&gt;0,ISNUMBER(D23),D23&gt;0),MIN(B23:D23,'Guide'!$B$14),"")</x:f>
      </x:c>
      <x:c r="I23" s="3" t="str">
        <x:f>IF(ISNUMBER(M10),M10,"")</x:f>
      </x:c>
      <x:c r="J23" s="25" t="str">
        <x:f>IF(AND(ISNUMBER(I23),AND(ISNUMBER(H23),H23&gt;0)),I23/H23,"")</x:f>
      </x:c>
      <x:c r="K23" s="3" t="str">
        <x:f>IF(OR(NOT(ISNUMBER(J23)),E23="",NOT(ISNUMBER(F23)),G23="",L23="",M23=""),"OPEN",IF(J23&gt;1,"EXCEEDS","RECORDED"))</x:f>
        <x:v>OPEN</x:v>
      </x:c>
      <x:c r="L23" s="27"/>
      <x:c r="M23" s="27"/>
    </x:row>
    <x:row r="24" ht="28" customHeight="1">
      <x:c r="A24" s="9"/>
      <x:c r="B24" s="9"/>
      <x:c r="C24" s="9"/>
      <x:c r="D24" s="9"/>
      <x:c r="E24" s="9"/>
      <x:c r="F24" s="9"/>
      <x:c r="G24" s="9"/>
      <x:c r="H24" s="9"/>
      <x:c r="I24" s="9"/>
      <x:c r="J24" s="9"/>
      <x:c r="K24" s="9"/>
      <x:c r="L24" s="9"/>
      <x:c r="M24" s="9"/>
    </x:row>
    <x:row r="25" ht="28" customHeight="1">
      <x:c r="A25" s="3"/>
      <x:c r="B25" s="3"/>
      <x:c r="C25" s="3"/>
      <x:c r="D25" s="3"/>
      <x:c r="E25" s="3"/>
      <x:c r="F25" s="3"/>
      <x:c r="G25" s="3"/>
      <x:c r="H25" s="3"/>
      <x:c r="I25" s="3"/>
      <x:c r="J25" s="3"/>
      <x:c r="K25" s="3"/>
      <x:c r="L25" s="3"/>
      <x:c r="M25" s="3"/>
    </x:row>
    <x:row r="26" ht="28" customHeight="1">
      <x:c r="A26" s="9" t="str">
        <x:v>Input completeness</x:v>
      </x:c>
      <x:c r="B26" s="9"/>
      <x:c r="C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D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E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F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G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H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I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J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K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L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M26"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row>
    <x:row r="27" ht="28" customHeight="1">
      <x:c r="A27" s="3"/>
      <x:c r="B27" s="3"/>
      <x:c r="C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D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E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F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G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H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I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J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K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L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M27" s="3"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row>
    <x:row r="28" ht="28" customHeight="1">
      <x:c r="A28" s="9"/>
      <x:c r="B28" s="9" t="str">
        <x:f>IF(AND(COUNTA(B6:B10)=5,COUNT(C6:J10)=40,COUNTA(K6:K10)=5,COUNT(M6:M10)=5,MIN(J6:J10)&gt;=1.5,MIN(C6:C10)&gt;=28,MAX(C6:C10)&lt;=36),"INPUTS RECORDED","OPEN")</x:f>
        <x:v>OPEN</x:v>
      </x:c>
      <x:c r="C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D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E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F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G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H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I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J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K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L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c r="M28" s="9" t="str">
        <x:v>Input completeness checks entries and the retained speaking-length/face-clearance gates only. Equality within 1/16 in (unless intentionally scaled), actual string spacing, manufacturer data applicability and local force models remain explicit reviewer checks. Numeric loads can calculate before evidence review is complete.</x:v>
      </x:c>
    </x:row>
    <x:row r="29" ht="28" customHeight="1">
      <x:c r="A29" s="3"/>
      <x:c r="B29" s="3"/>
      <x:c r="C29" s="3"/>
      <x:c r="D29" s="3"/>
      <x:c r="E29" s="3"/>
      <x:c r="F29" s="3"/>
      <x:c r="G29" s="3"/>
      <x:c r="H29" s="3"/>
      <x:c r="I29" s="3"/>
      <x:c r="J29" s="3"/>
      <x:c r="K29" s="3"/>
      <x:c r="L29" s="3"/>
      <x:c r="M29" s="3"/>
    </x:row>
    <x:row r="30" ht="28" customHeight="1">
      <x:c r="A30" s="9" t="str">
        <x:v>Scope</x:v>
      </x:c>
      <x:c r="B30" s="9" t="str">
        <x:v>String safe limit, tuner limit and termination limit must be approved working values for this exact configuration. Include all string-contact parts, both ends, mounting and core compatibility in the cited review. A published breaking/proof strength is not a WLL.</x:v>
      </x:c>
      <x:c r="C30" s="9" t="str">
        <x:v>String safe limit, tuner limit and termination limit must be approved working values for this exact configuration. Include all string-contact parts, both ends, mounting and core compatibility in the cited review. A published breaking/proof strength is not a WLL.</x:v>
      </x:c>
      <x:c r="D30" s="9" t="str">
        <x:v>String safe limit, tuner limit and termination limit must be approved working values for this exact configuration. Include all string-contact parts, both ends, mounting and core compatibility in the cited review. A published breaking/proof strength is not a WLL.</x:v>
      </x:c>
      <x:c r="E30" s="9" t="str">
        <x:v>String safe limit, tuner limit and termination limit must be approved working values for this exact configuration. Include all string-contact parts, both ends, mounting and core compatibility in the cited review. A published breaking/proof strength is not a WLL.</x:v>
      </x:c>
      <x:c r="F30" s="9" t="str">
        <x:v>String safe limit, tuner limit and termination limit must be approved working values for this exact configuration. Include all string-contact parts, both ends, mounting and core compatibility in the cited review. A published breaking/proof strength is not a WLL.</x:v>
      </x:c>
      <x:c r="G30" s="9" t="str">
        <x:v>String safe limit, tuner limit and termination limit must be approved working values for this exact configuration. Include all string-contact parts, both ends, mounting and core compatibility in the cited review. A published breaking/proof strength is not a WLL.</x:v>
      </x:c>
      <x:c r="H30" s="9" t="str">
        <x:v>String safe limit, tuner limit and termination limit must be approved working values for this exact configuration. Include all string-contact parts, both ends, mounting and core compatibility in the cited review. A published breaking/proof strength is not a WLL.</x:v>
      </x:c>
      <x:c r="I30" s="9" t="str">
        <x:v>String safe limit, tuner limit and termination limit must be approved working values for this exact configuration. Include all string-contact parts, both ends, mounting and core compatibility in the cited review. A published breaking/proof strength is not a WLL.</x:v>
      </x:c>
      <x:c r="J30" s="9" t="str">
        <x:v>String safe limit, tuner limit and termination limit must be approved working values for this exact configuration. Include all string-contact parts, both ends, mounting and core compatibility in the cited review. A published breaking/proof strength is not a WLL.</x:v>
      </x:c>
      <x:c r="K30" s="9" t="str">
        <x:v>String safe limit, tuner limit and termination limit must be approved working values for this exact configuration. Include all string-contact parts, both ends, mounting and core compatibility in the cited review. A published breaking/proof strength is not a WLL.</x:v>
      </x:c>
      <x:c r="L30" s="9" t="str">
        <x:v>String safe limit, tuner limit and termination limit must be approved working values for this exact configuration. Include all string-contact parts, both ends, mounting and core compatibility in the cited review. A published breaking/proof strength is not a WLL.</x:v>
      </x:c>
      <x:c r="M30" s="9" t="str">
        <x:v>String safe limit, tuner limit and termination limit must be approved working values for this exact configuration. Include all string-contact parts, both ends, mounting and core compatibility in the cited review. A published breaking/proof strength is not a WLL.</x:v>
      </x:c>
    </x:row>
    <x:row r="31" ht="28" customHeight="1">
      <x:c r="A31" s="3"/>
      <x:c r="B31" s="3" t="str">
        <x:v>String safe limit, tuner limit and termination limit must be approved working values for this exact configuration. Include all string-contact parts, both ends, mounting and core compatibility in the cited review. A published breaking/proof strength is not a WLL.</x:v>
      </x:c>
      <x:c r="C31" s="3" t="str">
        <x:v>String safe limit, tuner limit and termination limit must be approved working values for this exact configuration. Include all string-contact parts, both ends, mounting and core compatibility in the cited review. A published breaking/proof strength is not a WLL.</x:v>
      </x:c>
      <x:c r="D31" s="3" t="str">
        <x:v>String safe limit, tuner limit and termination limit must be approved working values for this exact configuration. Include all string-contact parts, both ends, mounting and core compatibility in the cited review. A published breaking/proof strength is not a WLL.</x:v>
      </x:c>
      <x:c r="E31" s="3" t="str">
        <x:v>String safe limit, tuner limit and termination limit must be approved working values for this exact configuration. Include all string-contact parts, both ends, mounting and core compatibility in the cited review. A published breaking/proof strength is not a WLL.</x:v>
      </x:c>
      <x:c r="F31" s="3" t="str">
        <x:v>String safe limit, tuner limit and termination limit must be approved working values for this exact configuration. Include all string-contact parts, both ends, mounting and core compatibility in the cited review. A published breaking/proof strength is not a WLL.</x:v>
      </x:c>
      <x:c r="G31" s="3" t="str">
        <x:v>String safe limit, tuner limit and termination limit must be approved working values for this exact configuration. Include all string-contact parts, both ends, mounting and core compatibility in the cited review. A published breaking/proof strength is not a WLL.</x:v>
      </x:c>
      <x:c r="H31" s="3" t="str">
        <x:v>String safe limit, tuner limit and termination limit must be approved working values for this exact configuration. Include all string-contact parts, both ends, mounting and core compatibility in the cited review. A published breaking/proof strength is not a WLL.</x:v>
      </x:c>
      <x:c r="I31" s="3" t="str">
        <x:v>String safe limit, tuner limit and termination limit must be approved working values for this exact configuration. Include all string-contact parts, both ends, mounting and core compatibility in the cited review. A published breaking/proof strength is not a WLL.</x:v>
      </x:c>
      <x:c r="J31" s="3" t="str">
        <x:v>String safe limit, tuner limit and termination limit must be approved working values for this exact configuration. Include all string-contact parts, both ends, mounting and core compatibility in the cited review. A published breaking/proof strength is not a WLL.</x:v>
      </x:c>
      <x:c r="K31" s="3" t="str">
        <x:v>String safe limit, tuner limit and termination limit must be approved working values for this exact configuration. Include all string-contact parts, both ends, mounting and core compatibility in the cited review. A published breaking/proof strength is not a WLL.</x:v>
      </x:c>
      <x:c r="L31" s="3" t="str">
        <x:v>String safe limit, tuner limit and termination limit must be approved working values for this exact configuration. Include all string-contact parts, both ends, mounting and core compatibility in the cited review. A published breaking/proof strength is not a WLL.</x:v>
      </x:c>
      <x:c r="M31" s="3" t="str">
        <x:v>String safe limit, tuner limit and termination limit must be approved working values for this exact configuration. Include all string-contact parts, both ends, mounting and core compatibility in the cited review. A published breaking/proof strength is not a WLL.</x:v>
      </x:c>
    </x:row>
    <x:row r="32" ht="28" customHeight="1">
      <x:c r="A32" s="9"/>
      <x:c r="B32" s="9"/>
      <x:c r="C32" s="9"/>
      <x:c r="D32" s="9"/>
      <x:c r="E32" s="9"/>
      <x:c r="F32" s="9"/>
      <x:c r="G32" s="9"/>
      <x:c r="H32" s="9"/>
      <x:c r="I32" s="9"/>
      <x:c r="J32" s="9"/>
      <x:c r="K32" s="9"/>
      <x:c r="L32" s="9"/>
      <x:c r="M32" s="9"/>
    </x:row>
  </x:sheetData>
  <x:mergeCells>
    <x:mergeCell ref="A1:M2"/>
    <x:mergeCell ref="A3:M3"/>
    <x:mergeCell ref="A14:M15"/>
    <x:mergeCell ref="A17:M17"/>
    <x:mergeCell ref="C26:M28"/>
    <x:mergeCell ref="B30:M31"/>
  </x:mergeCells>
  <x:conditionalFormatting sqref="K19:K23">
    <x:cfRule type="containsText" dxfId="0" priority="1" operator="containsText" text="OPEN"/>
    <x:cfRule type="containsText" dxfId="1" priority="2" operator="containsText" text="EXCEEDS"/>
    <x:cfRule type="containsText" dxfId="2" priority="3" operator="containsText" text="RECORDED"/>
  </x:conditionalFormatting>
  <x:pageMargins left="0.7" right="0.7" top="0.75" bottom="0.75" header="0.3" footer="0.3"/>
  <x:legacyDrawing xmlns:r="http://schemas.openxmlformats.org/officeDocument/2006/relationships" r:id="Rcb6283f1343b480d"/>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3" hidden="0" customWidth="1"/>
    <x:col min="4" max="4" width="13" hidden="0" customWidth="1"/>
    <x:col min="5" max="5" width="13" hidden="0" customWidth="1"/>
    <x:col min="6" max="6" width="13" hidden="0" customWidth="1"/>
    <x:col min="7" max="7" width="19" hidden="0" customWidth="1"/>
    <x:col min="8" max="8" width="28" hidden="0" customWidth="1"/>
    <x:col min="9" max="9" width="28" hidden="0" customWidth="1"/>
  </x:cols>
  <x:sheetData>
    <x:row r="1" ht="28" customHeight="1">
      <x:c r="A1" s="5" t="str">
        <x:v>Static envelope | All 32 tension combinations</x:v>
      </x:c>
      <x:c r="B1" s="5" t="str">
        <x:v>Static envelope | All 32 tension combinations</x:v>
      </x:c>
      <x:c r="C1" s="5" t="str">
        <x:v>Static envelope | All 32 tension combinations</x:v>
      </x:c>
      <x:c r="D1" s="5" t="str">
        <x:v>Static envelope | All 32 tension combinations</x:v>
      </x:c>
      <x:c r="E1" s="5" t="str">
        <x:v>Static envelope | All 32 tension combinations</x:v>
      </x:c>
      <x:c r="F1" s="5" t="str">
        <x:v>Static envelope | All 32 tension combinations</x:v>
      </x:c>
      <x:c r="G1" s="5" t="str">
        <x:v>Static envelope | All 32 tension combinations</x:v>
      </x:c>
      <x:c r="H1" s="5" t="str">
        <x:v>Static envelope | All 32 tension combinations</x:v>
      </x:c>
      <x:c r="I1" s="5" t="str">
        <x:v>Static envelope | All 32 tension combinations</x:v>
      </x:c>
    </x:row>
    <x:row r="2" ht="28" customHeight="1">
      <x:c r="A2" s="5" t="str">
        <x:v>Static envelope | All 32 tension combinations</x:v>
      </x:c>
      <x:c r="B2" s="5" t="str">
        <x:v>Static envelope | All 32 tension combinations</x:v>
      </x:c>
      <x:c r="C2" s="5" t="str">
        <x:v>Static envelope | All 32 tension combinations</x:v>
      </x:c>
      <x:c r="D2" s="5" t="str">
        <x:v>Static envelope | All 32 tension combinations</x:v>
      </x:c>
      <x:c r="E2" s="5" t="str">
        <x:v>Static envelope | All 32 tension combinations</x:v>
      </x:c>
      <x:c r="F2" s="5" t="str">
        <x:v>Static envelope | All 32 tension combinations</x:v>
      </x:c>
      <x:c r="G2" s="5" t="str">
        <x:v>Static envelope | All 32 tension combinations</x:v>
      </x:c>
      <x:c r="H2" s="5" t="str">
        <x:v>Static envelope | All 32 tension combinations</x:v>
      </x:c>
      <x:c r="I2" s="5" t="str">
        <x:v>Static envelope | All 32 tension combinations</x:v>
      </x:c>
    </x:row>
    <x:row r="3" ht="43" customHeight="1">
      <x:c r="A3" s="6" t="str">
        <x:v>Linear static envelope only: each string is slack or at its documented upper tension. No impact, fatigue or commissioning approval.</x:v>
      </x:c>
      <x:c r="B3" s="6" t="str">
        <x:v>Linear static envelope only: each string is slack or at its documented upper tension. No impact, fatigue or commissioning approval.</x:v>
      </x:c>
      <x:c r="C3" s="6" t="str">
        <x:v>Linear static envelope only: each string is slack or at its documented upper tension. No impact, fatigue or commissioning approval.</x:v>
      </x:c>
      <x:c r="D3" s="6" t="str">
        <x:v>Linear static envelope only: each string is slack or at its documented upper tension. No impact, fatigue or commissioning approval.</x:v>
      </x:c>
      <x:c r="E3" s="6" t="str">
        <x:v>Linear static envelope only: each string is slack or at its documented upper tension. No impact, fatigue or commissioning approval.</x:v>
      </x:c>
      <x:c r="F3" s="6" t="str">
        <x:v>Linear static envelope only: each string is slack or at its documented upper tension. No impact, fatigue or commissioning approval.</x:v>
      </x:c>
      <x:c r="G3" s="6" t="str">
        <x:v>Linear static envelope only: each string is slack or at its documented upper tension. No impact, fatigue or commissioning approval.</x:v>
      </x:c>
      <x:c r="H3" s="6" t="str">
        <x:v>Linear static envelope only: each string is slack or at its documented upper tension. No impact, fatigue or commissioning approval.</x:v>
      </x:c>
      <x:c r="I3" s="6" t="str">
        <x:v>Linear static envelope only: each string is slack or at its documented upper tension. No impact, fatigue or commissioning approval.</x:v>
      </x:c>
    </x:row>
    <x:row r="4" ht="28" customHeight="1">
      <x:c r="A4" s="3"/>
      <x:c r="B4" s="3"/>
      <x:c r="C4" s="3"/>
      <x:c r="D4" s="3"/>
      <x:c r="E4" s="3"/>
      <x:c r="F4" s="3"/>
      <x:c r="G4" s="3"/>
      <x:c r="H4" s="3"/>
      <x:c r="I4" s="3"/>
    </x:row>
    <x:row r="5" ht="36" customHeight="1">
      <x:c r="A5" s="8" t="str">
        <x:v>Case</x:v>
      </x:c>
      <x:c r="B5" s="8" t="str">
        <x:v>S1 factor</x:v>
      </x:c>
      <x:c r="C5" s="8" t="str">
        <x:v>S2 factor</x:v>
      </x:c>
      <x:c r="D5" s="8" t="str">
        <x:v>S3 factor</x:v>
      </x:c>
      <x:c r="E5" s="8" t="str">
        <x:v>S4 factor</x:v>
      </x:c>
      <x:c r="F5" s="8" t="str">
        <x:v>S5 factor</x:v>
      </x:c>
      <x:c r="G5" s="8" t="str">
        <x:v>P (lbf)</x:v>
      </x:c>
      <x:c r="H5" s="8" t="str">
        <x:v>Mx about spine (lbf in)</x:v>
      </x:c>
      <x:c r="I5" s="8" t="str">
        <x:v>My about spine (lbf in)</x:v>
      </x:c>
    </x:row>
    <x:row r="6" ht="28" customHeight="1">
      <x:c r="A6" s="9" t="str">
        <x:v>LC-00</x:v>
      </x:c>
      <x:c r="B6" s="9" t="n">
        <x:v>0</x:v>
      </x:c>
      <x:c r="C6" s="9" t="n">
        <x:v>0</x:v>
      </x:c>
      <x:c r="D6" s="9" t="n">
        <x:v>0</x:v>
      </x:c>
      <x:c r="E6" s="9" t="n">
        <x:v>0</x:v>
      </x:c>
      <x:c r="F6" s="9" t="n">
        <x:v>0</x:v>
      </x:c>
      <x:c r="G6" s="24" t="str">
        <x:f>IF(AND('String Schedule'!$B$28="INPUTS RECORDED",AND(ISNUMBER('Stock Inputs'!$C$12),'Stock Inputs'!$C$12&gt;0,ISNUMBER('Stock Inputs'!$C$13),'Stock Inputs'!$C$13&gt;0),'Stock Inputs'!$C$29="YES",'Stock Inputs'!$C$30="YES"),B6*'String Schedule'!$M$6+C6*'String Schedule'!$M$7+D6*'String Schedule'!$M$8+E6*'String Schedule'!$M$9+F6*'String Schedule'!$M$10,"")</x:f>
      </x:c>
      <x:c r="H6" s="24" t="str">
        <x:f>IF(AND('String Schedule'!$B$28="INPUTS RECORDED",AND(ISNUMBER('Stock Inputs'!$C$12),'Stock Inputs'!$C$12&gt;0,ISNUMBER('Stock Inputs'!$C$13),'Stock Inputs'!$C$13&gt;0),'Stock Inputs'!$C$29="YES",'Stock Inputs'!$C$30="YES"),B6*'String Schedule'!$M$6*('Stock Inputs'!$C$13/2+'String Schedule'!$J$6)+C6*'String Schedule'!$M$7*('Stock Inputs'!$C$13/2+'String Schedule'!$J$7)+D6*'String Schedule'!$M$8*('Stock Inputs'!$C$13/2+'String Schedule'!$J$8)+E6*'String Schedule'!$M$9*('Stock Inputs'!$C$13/2+'String Schedule'!$J$9)+F6*'String Schedule'!$M$10*('Stock Inputs'!$C$13/2+'String Schedule'!$J$10),"")</x:f>
      </x:c>
      <x:c r="I6" s="24" t="str">
        <x:f>IF(AND('String Schedule'!$B$28="INPUTS RECORDED",AND(ISNUMBER('Stock Inputs'!$C$12),'Stock Inputs'!$C$12&gt;0,ISNUMBER('Stock Inputs'!$C$13),'Stock Inputs'!$C$13&gt;0),'Stock Inputs'!$C$29="YES",'Stock Inputs'!$C$30="YES"),-(B6*'String Schedule'!$M$6*'String Schedule'!$I$6+C6*'String Schedule'!$M$7*'String Schedule'!$I$7+D6*'String Schedule'!$M$8*'String Schedule'!$I$8+E6*'String Schedule'!$M$9*'String Schedule'!$I$9+F6*'String Schedule'!$M$10*'String Schedule'!$I$10),"")</x:f>
      </x:c>
    </x:row>
    <x:row r="7" ht="28" customHeight="1">
      <x:c r="A7" s="3" t="str">
        <x:v>LC-01</x:v>
      </x:c>
      <x:c r="B7" s="3" t="n">
        <x:v>1</x:v>
      </x:c>
      <x:c r="C7" s="3" t="n">
        <x:v>0</x:v>
      </x:c>
      <x:c r="D7" s="3" t="n">
        <x:v>0</x:v>
      </x:c>
      <x:c r="E7" s="3" t="n">
        <x:v>0</x:v>
      </x:c>
      <x:c r="F7" s="3" t="n">
        <x:v>0</x:v>
      </x:c>
      <x:c r="G7" s="25" t="str">
        <x:f>IF(AND('String Schedule'!$B$28="INPUTS RECORDED",AND(ISNUMBER('Stock Inputs'!$C$12),'Stock Inputs'!$C$12&gt;0,ISNUMBER('Stock Inputs'!$C$13),'Stock Inputs'!$C$13&gt;0),'Stock Inputs'!$C$29="YES",'Stock Inputs'!$C$30="YES"),B7*'String Schedule'!$M$6+C7*'String Schedule'!$M$7+D7*'String Schedule'!$M$8+E7*'String Schedule'!$M$9+F7*'String Schedule'!$M$10,"")</x:f>
      </x:c>
      <x:c r="H7" s="25" t="str">
        <x:f>IF(AND('String Schedule'!$B$28="INPUTS RECORDED",AND(ISNUMBER('Stock Inputs'!$C$12),'Stock Inputs'!$C$12&gt;0,ISNUMBER('Stock Inputs'!$C$13),'Stock Inputs'!$C$13&gt;0),'Stock Inputs'!$C$29="YES",'Stock Inputs'!$C$30="YES"),B7*'String Schedule'!$M$6*('Stock Inputs'!$C$13/2+'String Schedule'!$J$6)+C7*'String Schedule'!$M$7*('Stock Inputs'!$C$13/2+'String Schedule'!$J$7)+D7*'String Schedule'!$M$8*('Stock Inputs'!$C$13/2+'String Schedule'!$J$8)+E7*'String Schedule'!$M$9*('Stock Inputs'!$C$13/2+'String Schedule'!$J$9)+F7*'String Schedule'!$M$10*('Stock Inputs'!$C$13/2+'String Schedule'!$J$10),"")</x:f>
      </x:c>
      <x:c r="I7" s="25" t="str">
        <x:f>IF(AND('String Schedule'!$B$28="INPUTS RECORDED",AND(ISNUMBER('Stock Inputs'!$C$12),'Stock Inputs'!$C$12&gt;0,ISNUMBER('Stock Inputs'!$C$13),'Stock Inputs'!$C$13&gt;0),'Stock Inputs'!$C$29="YES",'Stock Inputs'!$C$30="YES"),-(B7*'String Schedule'!$M$6*'String Schedule'!$I$6+C7*'String Schedule'!$M$7*'String Schedule'!$I$7+D7*'String Schedule'!$M$8*'String Schedule'!$I$8+E7*'String Schedule'!$M$9*'String Schedule'!$I$9+F7*'String Schedule'!$M$10*'String Schedule'!$I$10),"")</x:f>
      </x:c>
    </x:row>
    <x:row r="8" ht="28" customHeight="1">
      <x:c r="A8" s="9" t="str">
        <x:v>LC-02</x:v>
      </x:c>
      <x:c r="B8" s="9" t="n">
        <x:v>0</x:v>
      </x:c>
      <x:c r="C8" s="9" t="n">
        <x:v>1</x:v>
      </x:c>
      <x:c r="D8" s="9" t="n">
        <x:v>0</x:v>
      </x:c>
      <x:c r="E8" s="9" t="n">
        <x:v>0</x:v>
      </x:c>
      <x:c r="F8" s="9" t="n">
        <x:v>0</x:v>
      </x:c>
      <x:c r="G8" s="24" t="str">
        <x:f>IF(AND('String Schedule'!$B$28="INPUTS RECORDED",AND(ISNUMBER('Stock Inputs'!$C$12),'Stock Inputs'!$C$12&gt;0,ISNUMBER('Stock Inputs'!$C$13),'Stock Inputs'!$C$13&gt;0),'Stock Inputs'!$C$29="YES",'Stock Inputs'!$C$30="YES"),B8*'String Schedule'!$M$6+C8*'String Schedule'!$M$7+D8*'String Schedule'!$M$8+E8*'String Schedule'!$M$9+F8*'String Schedule'!$M$10,"")</x:f>
      </x:c>
      <x:c r="H8" s="24" t="str">
        <x:f>IF(AND('String Schedule'!$B$28="INPUTS RECORDED",AND(ISNUMBER('Stock Inputs'!$C$12),'Stock Inputs'!$C$12&gt;0,ISNUMBER('Stock Inputs'!$C$13),'Stock Inputs'!$C$13&gt;0),'Stock Inputs'!$C$29="YES",'Stock Inputs'!$C$30="YES"),B8*'String Schedule'!$M$6*('Stock Inputs'!$C$13/2+'String Schedule'!$J$6)+C8*'String Schedule'!$M$7*('Stock Inputs'!$C$13/2+'String Schedule'!$J$7)+D8*'String Schedule'!$M$8*('Stock Inputs'!$C$13/2+'String Schedule'!$J$8)+E8*'String Schedule'!$M$9*('Stock Inputs'!$C$13/2+'String Schedule'!$J$9)+F8*'String Schedule'!$M$10*('Stock Inputs'!$C$13/2+'String Schedule'!$J$10),"")</x:f>
      </x:c>
      <x:c r="I8" s="24" t="str">
        <x:f>IF(AND('String Schedule'!$B$28="INPUTS RECORDED",AND(ISNUMBER('Stock Inputs'!$C$12),'Stock Inputs'!$C$12&gt;0,ISNUMBER('Stock Inputs'!$C$13),'Stock Inputs'!$C$13&gt;0),'Stock Inputs'!$C$29="YES",'Stock Inputs'!$C$30="YES"),-(B8*'String Schedule'!$M$6*'String Schedule'!$I$6+C8*'String Schedule'!$M$7*'String Schedule'!$I$7+D8*'String Schedule'!$M$8*'String Schedule'!$I$8+E8*'String Schedule'!$M$9*'String Schedule'!$I$9+F8*'String Schedule'!$M$10*'String Schedule'!$I$10),"")</x:f>
      </x:c>
    </x:row>
    <x:row r="9" ht="28" customHeight="1">
      <x:c r="A9" s="3" t="str">
        <x:v>LC-03</x:v>
      </x:c>
      <x:c r="B9" s="3" t="n">
        <x:v>1</x:v>
      </x:c>
      <x:c r="C9" s="3" t="n">
        <x:v>1</x:v>
      </x:c>
      <x:c r="D9" s="3" t="n">
        <x:v>0</x:v>
      </x:c>
      <x:c r="E9" s="3" t="n">
        <x:v>0</x:v>
      </x:c>
      <x:c r="F9" s="3" t="n">
        <x:v>0</x:v>
      </x:c>
      <x:c r="G9" s="25" t="str">
        <x:f>IF(AND('String Schedule'!$B$28="INPUTS RECORDED",AND(ISNUMBER('Stock Inputs'!$C$12),'Stock Inputs'!$C$12&gt;0,ISNUMBER('Stock Inputs'!$C$13),'Stock Inputs'!$C$13&gt;0),'Stock Inputs'!$C$29="YES",'Stock Inputs'!$C$30="YES"),B9*'String Schedule'!$M$6+C9*'String Schedule'!$M$7+D9*'String Schedule'!$M$8+E9*'String Schedule'!$M$9+F9*'String Schedule'!$M$10,"")</x:f>
      </x:c>
      <x:c r="H9" s="25" t="str">
        <x:f>IF(AND('String Schedule'!$B$28="INPUTS RECORDED",AND(ISNUMBER('Stock Inputs'!$C$12),'Stock Inputs'!$C$12&gt;0,ISNUMBER('Stock Inputs'!$C$13),'Stock Inputs'!$C$13&gt;0),'Stock Inputs'!$C$29="YES",'Stock Inputs'!$C$30="YES"),B9*'String Schedule'!$M$6*('Stock Inputs'!$C$13/2+'String Schedule'!$J$6)+C9*'String Schedule'!$M$7*('Stock Inputs'!$C$13/2+'String Schedule'!$J$7)+D9*'String Schedule'!$M$8*('Stock Inputs'!$C$13/2+'String Schedule'!$J$8)+E9*'String Schedule'!$M$9*('Stock Inputs'!$C$13/2+'String Schedule'!$J$9)+F9*'String Schedule'!$M$10*('Stock Inputs'!$C$13/2+'String Schedule'!$J$10),"")</x:f>
      </x:c>
      <x:c r="I9" s="25" t="str">
        <x:f>IF(AND('String Schedule'!$B$28="INPUTS RECORDED",AND(ISNUMBER('Stock Inputs'!$C$12),'Stock Inputs'!$C$12&gt;0,ISNUMBER('Stock Inputs'!$C$13),'Stock Inputs'!$C$13&gt;0),'Stock Inputs'!$C$29="YES",'Stock Inputs'!$C$30="YES"),-(B9*'String Schedule'!$M$6*'String Schedule'!$I$6+C9*'String Schedule'!$M$7*'String Schedule'!$I$7+D9*'String Schedule'!$M$8*'String Schedule'!$I$8+E9*'String Schedule'!$M$9*'String Schedule'!$I$9+F9*'String Schedule'!$M$10*'String Schedule'!$I$10),"")</x:f>
      </x:c>
    </x:row>
    <x:row r="10" ht="28" customHeight="1">
      <x:c r="A10" s="9" t="str">
        <x:v>LC-04</x:v>
      </x:c>
      <x:c r="B10" s="9" t="n">
        <x:v>0</x:v>
      </x:c>
      <x:c r="C10" s="9" t="n">
        <x:v>0</x:v>
      </x:c>
      <x:c r="D10" s="9" t="n">
        <x:v>1</x:v>
      </x:c>
      <x:c r="E10" s="9" t="n">
        <x:v>0</x:v>
      </x:c>
      <x:c r="F10" s="9" t="n">
        <x:v>0</x:v>
      </x:c>
      <x:c r="G10" s="24" t="str">
        <x:f>IF(AND('String Schedule'!$B$28="INPUTS RECORDED",AND(ISNUMBER('Stock Inputs'!$C$12),'Stock Inputs'!$C$12&gt;0,ISNUMBER('Stock Inputs'!$C$13),'Stock Inputs'!$C$13&gt;0),'Stock Inputs'!$C$29="YES",'Stock Inputs'!$C$30="YES"),B10*'String Schedule'!$M$6+C10*'String Schedule'!$M$7+D10*'String Schedule'!$M$8+E10*'String Schedule'!$M$9+F10*'String Schedule'!$M$10,"")</x:f>
      </x:c>
      <x:c r="H10" s="24" t="str">
        <x:f>IF(AND('String Schedule'!$B$28="INPUTS RECORDED",AND(ISNUMBER('Stock Inputs'!$C$12),'Stock Inputs'!$C$12&gt;0,ISNUMBER('Stock Inputs'!$C$13),'Stock Inputs'!$C$13&gt;0),'Stock Inputs'!$C$29="YES",'Stock Inputs'!$C$30="YES"),B10*'String Schedule'!$M$6*('Stock Inputs'!$C$13/2+'String Schedule'!$J$6)+C10*'String Schedule'!$M$7*('Stock Inputs'!$C$13/2+'String Schedule'!$J$7)+D10*'String Schedule'!$M$8*('Stock Inputs'!$C$13/2+'String Schedule'!$J$8)+E10*'String Schedule'!$M$9*('Stock Inputs'!$C$13/2+'String Schedule'!$J$9)+F10*'String Schedule'!$M$10*('Stock Inputs'!$C$13/2+'String Schedule'!$J$10),"")</x:f>
      </x:c>
      <x:c r="I10" s="24" t="str">
        <x:f>IF(AND('String Schedule'!$B$28="INPUTS RECORDED",AND(ISNUMBER('Stock Inputs'!$C$12),'Stock Inputs'!$C$12&gt;0,ISNUMBER('Stock Inputs'!$C$13),'Stock Inputs'!$C$13&gt;0),'Stock Inputs'!$C$29="YES",'Stock Inputs'!$C$30="YES"),-(B10*'String Schedule'!$M$6*'String Schedule'!$I$6+C10*'String Schedule'!$M$7*'String Schedule'!$I$7+D10*'String Schedule'!$M$8*'String Schedule'!$I$8+E10*'String Schedule'!$M$9*'String Schedule'!$I$9+F10*'String Schedule'!$M$10*'String Schedule'!$I$10),"")</x:f>
      </x:c>
    </x:row>
    <x:row r="11" ht="28" customHeight="1">
      <x:c r="A11" s="3" t="str">
        <x:v>LC-05</x:v>
      </x:c>
      <x:c r="B11" s="3" t="n">
        <x:v>1</x:v>
      </x:c>
      <x:c r="C11" s="3" t="n">
        <x:v>0</x:v>
      </x:c>
      <x:c r="D11" s="3" t="n">
        <x:v>1</x:v>
      </x:c>
      <x:c r="E11" s="3" t="n">
        <x:v>0</x:v>
      </x:c>
      <x:c r="F11" s="3" t="n">
        <x:v>0</x:v>
      </x:c>
      <x:c r="G11" s="25" t="str">
        <x:f>IF(AND('String Schedule'!$B$28="INPUTS RECORDED",AND(ISNUMBER('Stock Inputs'!$C$12),'Stock Inputs'!$C$12&gt;0,ISNUMBER('Stock Inputs'!$C$13),'Stock Inputs'!$C$13&gt;0),'Stock Inputs'!$C$29="YES",'Stock Inputs'!$C$30="YES"),B11*'String Schedule'!$M$6+C11*'String Schedule'!$M$7+D11*'String Schedule'!$M$8+E11*'String Schedule'!$M$9+F11*'String Schedule'!$M$10,"")</x:f>
      </x:c>
      <x:c r="H11" s="25" t="str">
        <x:f>IF(AND('String Schedule'!$B$28="INPUTS RECORDED",AND(ISNUMBER('Stock Inputs'!$C$12),'Stock Inputs'!$C$12&gt;0,ISNUMBER('Stock Inputs'!$C$13),'Stock Inputs'!$C$13&gt;0),'Stock Inputs'!$C$29="YES",'Stock Inputs'!$C$30="YES"),B11*'String Schedule'!$M$6*('Stock Inputs'!$C$13/2+'String Schedule'!$J$6)+C11*'String Schedule'!$M$7*('Stock Inputs'!$C$13/2+'String Schedule'!$J$7)+D11*'String Schedule'!$M$8*('Stock Inputs'!$C$13/2+'String Schedule'!$J$8)+E11*'String Schedule'!$M$9*('Stock Inputs'!$C$13/2+'String Schedule'!$J$9)+F11*'String Schedule'!$M$10*('Stock Inputs'!$C$13/2+'String Schedule'!$J$10),"")</x:f>
      </x:c>
      <x:c r="I11" s="25" t="str">
        <x:f>IF(AND('String Schedule'!$B$28="INPUTS RECORDED",AND(ISNUMBER('Stock Inputs'!$C$12),'Stock Inputs'!$C$12&gt;0,ISNUMBER('Stock Inputs'!$C$13),'Stock Inputs'!$C$13&gt;0),'Stock Inputs'!$C$29="YES",'Stock Inputs'!$C$30="YES"),-(B11*'String Schedule'!$M$6*'String Schedule'!$I$6+C11*'String Schedule'!$M$7*'String Schedule'!$I$7+D11*'String Schedule'!$M$8*'String Schedule'!$I$8+E11*'String Schedule'!$M$9*'String Schedule'!$I$9+F11*'String Schedule'!$M$10*'String Schedule'!$I$10),"")</x:f>
      </x:c>
    </x:row>
    <x:row r="12" ht="28" customHeight="1">
      <x:c r="A12" s="9" t="str">
        <x:v>LC-06</x:v>
      </x:c>
      <x:c r="B12" s="9" t="n">
        <x:v>0</x:v>
      </x:c>
      <x:c r="C12" s="9" t="n">
        <x:v>1</x:v>
      </x:c>
      <x:c r="D12" s="9" t="n">
        <x:v>1</x:v>
      </x:c>
      <x:c r="E12" s="9" t="n">
        <x:v>0</x:v>
      </x:c>
      <x:c r="F12" s="9" t="n">
        <x:v>0</x:v>
      </x:c>
      <x:c r="G12" s="24" t="str">
        <x:f>IF(AND('String Schedule'!$B$28="INPUTS RECORDED",AND(ISNUMBER('Stock Inputs'!$C$12),'Stock Inputs'!$C$12&gt;0,ISNUMBER('Stock Inputs'!$C$13),'Stock Inputs'!$C$13&gt;0),'Stock Inputs'!$C$29="YES",'Stock Inputs'!$C$30="YES"),B12*'String Schedule'!$M$6+C12*'String Schedule'!$M$7+D12*'String Schedule'!$M$8+E12*'String Schedule'!$M$9+F12*'String Schedule'!$M$10,"")</x:f>
      </x:c>
      <x:c r="H12" s="24" t="str">
        <x:f>IF(AND('String Schedule'!$B$28="INPUTS RECORDED",AND(ISNUMBER('Stock Inputs'!$C$12),'Stock Inputs'!$C$12&gt;0,ISNUMBER('Stock Inputs'!$C$13),'Stock Inputs'!$C$13&gt;0),'Stock Inputs'!$C$29="YES",'Stock Inputs'!$C$30="YES"),B12*'String Schedule'!$M$6*('Stock Inputs'!$C$13/2+'String Schedule'!$J$6)+C12*'String Schedule'!$M$7*('Stock Inputs'!$C$13/2+'String Schedule'!$J$7)+D12*'String Schedule'!$M$8*('Stock Inputs'!$C$13/2+'String Schedule'!$J$8)+E12*'String Schedule'!$M$9*('Stock Inputs'!$C$13/2+'String Schedule'!$J$9)+F12*'String Schedule'!$M$10*('Stock Inputs'!$C$13/2+'String Schedule'!$J$10),"")</x:f>
      </x:c>
      <x:c r="I12" s="24" t="str">
        <x:f>IF(AND('String Schedule'!$B$28="INPUTS RECORDED",AND(ISNUMBER('Stock Inputs'!$C$12),'Stock Inputs'!$C$12&gt;0,ISNUMBER('Stock Inputs'!$C$13),'Stock Inputs'!$C$13&gt;0),'Stock Inputs'!$C$29="YES",'Stock Inputs'!$C$30="YES"),-(B12*'String Schedule'!$M$6*'String Schedule'!$I$6+C12*'String Schedule'!$M$7*'String Schedule'!$I$7+D12*'String Schedule'!$M$8*'String Schedule'!$I$8+E12*'String Schedule'!$M$9*'String Schedule'!$I$9+F12*'String Schedule'!$M$10*'String Schedule'!$I$10),"")</x:f>
      </x:c>
    </x:row>
    <x:row r="13" ht="28" customHeight="1">
      <x:c r="A13" s="3" t="str">
        <x:v>LC-07</x:v>
      </x:c>
      <x:c r="B13" s="3" t="n">
        <x:v>1</x:v>
      </x:c>
      <x:c r="C13" s="3" t="n">
        <x:v>1</x:v>
      </x:c>
      <x:c r="D13" s="3" t="n">
        <x:v>1</x:v>
      </x:c>
      <x:c r="E13" s="3" t="n">
        <x:v>0</x:v>
      </x:c>
      <x:c r="F13" s="3" t="n">
        <x:v>0</x:v>
      </x:c>
      <x:c r="G13" s="25" t="str">
        <x:f>IF(AND('String Schedule'!$B$28="INPUTS RECORDED",AND(ISNUMBER('Stock Inputs'!$C$12),'Stock Inputs'!$C$12&gt;0,ISNUMBER('Stock Inputs'!$C$13),'Stock Inputs'!$C$13&gt;0),'Stock Inputs'!$C$29="YES",'Stock Inputs'!$C$30="YES"),B13*'String Schedule'!$M$6+C13*'String Schedule'!$M$7+D13*'String Schedule'!$M$8+E13*'String Schedule'!$M$9+F13*'String Schedule'!$M$10,"")</x:f>
      </x:c>
      <x:c r="H13" s="25" t="str">
        <x:f>IF(AND('String Schedule'!$B$28="INPUTS RECORDED",AND(ISNUMBER('Stock Inputs'!$C$12),'Stock Inputs'!$C$12&gt;0,ISNUMBER('Stock Inputs'!$C$13),'Stock Inputs'!$C$13&gt;0),'Stock Inputs'!$C$29="YES",'Stock Inputs'!$C$30="YES"),B13*'String Schedule'!$M$6*('Stock Inputs'!$C$13/2+'String Schedule'!$J$6)+C13*'String Schedule'!$M$7*('Stock Inputs'!$C$13/2+'String Schedule'!$J$7)+D13*'String Schedule'!$M$8*('Stock Inputs'!$C$13/2+'String Schedule'!$J$8)+E13*'String Schedule'!$M$9*('Stock Inputs'!$C$13/2+'String Schedule'!$J$9)+F13*'String Schedule'!$M$10*('Stock Inputs'!$C$13/2+'String Schedule'!$J$10),"")</x:f>
      </x:c>
      <x:c r="I13" s="25" t="str">
        <x:f>IF(AND('String Schedule'!$B$28="INPUTS RECORDED",AND(ISNUMBER('Stock Inputs'!$C$12),'Stock Inputs'!$C$12&gt;0,ISNUMBER('Stock Inputs'!$C$13),'Stock Inputs'!$C$13&gt;0),'Stock Inputs'!$C$29="YES",'Stock Inputs'!$C$30="YES"),-(B13*'String Schedule'!$M$6*'String Schedule'!$I$6+C13*'String Schedule'!$M$7*'String Schedule'!$I$7+D13*'String Schedule'!$M$8*'String Schedule'!$I$8+E13*'String Schedule'!$M$9*'String Schedule'!$I$9+F13*'String Schedule'!$M$10*'String Schedule'!$I$10),"")</x:f>
      </x:c>
    </x:row>
    <x:row r="14" ht="28" customHeight="1">
      <x:c r="A14" s="9" t="str">
        <x:v>LC-08</x:v>
      </x:c>
      <x:c r="B14" s="9" t="n">
        <x:v>0</x:v>
      </x:c>
      <x:c r="C14" s="9" t="n">
        <x:v>0</x:v>
      </x:c>
      <x:c r="D14" s="9" t="n">
        <x:v>0</x:v>
      </x:c>
      <x:c r="E14" s="9" t="n">
        <x:v>1</x:v>
      </x:c>
      <x:c r="F14" s="9" t="n">
        <x:v>0</x:v>
      </x:c>
      <x:c r="G14" s="24" t="str">
        <x:f>IF(AND('String Schedule'!$B$28="INPUTS RECORDED",AND(ISNUMBER('Stock Inputs'!$C$12),'Stock Inputs'!$C$12&gt;0,ISNUMBER('Stock Inputs'!$C$13),'Stock Inputs'!$C$13&gt;0),'Stock Inputs'!$C$29="YES",'Stock Inputs'!$C$30="YES"),B14*'String Schedule'!$M$6+C14*'String Schedule'!$M$7+D14*'String Schedule'!$M$8+E14*'String Schedule'!$M$9+F14*'String Schedule'!$M$10,"")</x:f>
      </x:c>
      <x:c r="H14" s="24" t="str">
        <x:f>IF(AND('String Schedule'!$B$28="INPUTS RECORDED",AND(ISNUMBER('Stock Inputs'!$C$12),'Stock Inputs'!$C$12&gt;0,ISNUMBER('Stock Inputs'!$C$13),'Stock Inputs'!$C$13&gt;0),'Stock Inputs'!$C$29="YES",'Stock Inputs'!$C$30="YES"),B14*'String Schedule'!$M$6*('Stock Inputs'!$C$13/2+'String Schedule'!$J$6)+C14*'String Schedule'!$M$7*('Stock Inputs'!$C$13/2+'String Schedule'!$J$7)+D14*'String Schedule'!$M$8*('Stock Inputs'!$C$13/2+'String Schedule'!$J$8)+E14*'String Schedule'!$M$9*('Stock Inputs'!$C$13/2+'String Schedule'!$J$9)+F14*'String Schedule'!$M$10*('Stock Inputs'!$C$13/2+'String Schedule'!$J$10),"")</x:f>
      </x:c>
      <x:c r="I14" s="24" t="str">
        <x:f>IF(AND('String Schedule'!$B$28="INPUTS RECORDED",AND(ISNUMBER('Stock Inputs'!$C$12),'Stock Inputs'!$C$12&gt;0,ISNUMBER('Stock Inputs'!$C$13),'Stock Inputs'!$C$13&gt;0),'Stock Inputs'!$C$29="YES",'Stock Inputs'!$C$30="YES"),-(B14*'String Schedule'!$M$6*'String Schedule'!$I$6+C14*'String Schedule'!$M$7*'String Schedule'!$I$7+D14*'String Schedule'!$M$8*'String Schedule'!$I$8+E14*'String Schedule'!$M$9*'String Schedule'!$I$9+F14*'String Schedule'!$M$10*'String Schedule'!$I$10),"")</x:f>
      </x:c>
    </x:row>
    <x:row r="15" ht="28" customHeight="1">
      <x:c r="A15" s="3" t="str">
        <x:v>LC-09</x:v>
      </x:c>
      <x:c r="B15" s="3" t="n">
        <x:v>1</x:v>
      </x:c>
      <x:c r="C15" s="3" t="n">
        <x:v>0</x:v>
      </x:c>
      <x:c r="D15" s="3" t="n">
        <x:v>0</x:v>
      </x:c>
      <x:c r="E15" s="3" t="n">
        <x:v>1</x:v>
      </x:c>
      <x:c r="F15" s="3" t="n">
        <x:v>0</x:v>
      </x:c>
      <x:c r="G15" s="25" t="str">
        <x:f>IF(AND('String Schedule'!$B$28="INPUTS RECORDED",AND(ISNUMBER('Stock Inputs'!$C$12),'Stock Inputs'!$C$12&gt;0,ISNUMBER('Stock Inputs'!$C$13),'Stock Inputs'!$C$13&gt;0),'Stock Inputs'!$C$29="YES",'Stock Inputs'!$C$30="YES"),B15*'String Schedule'!$M$6+C15*'String Schedule'!$M$7+D15*'String Schedule'!$M$8+E15*'String Schedule'!$M$9+F15*'String Schedule'!$M$10,"")</x:f>
      </x:c>
      <x:c r="H15" s="25" t="str">
        <x:f>IF(AND('String Schedule'!$B$28="INPUTS RECORDED",AND(ISNUMBER('Stock Inputs'!$C$12),'Stock Inputs'!$C$12&gt;0,ISNUMBER('Stock Inputs'!$C$13),'Stock Inputs'!$C$13&gt;0),'Stock Inputs'!$C$29="YES",'Stock Inputs'!$C$30="YES"),B15*'String Schedule'!$M$6*('Stock Inputs'!$C$13/2+'String Schedule'!$J$6)+C15*'String Schedule'!$M$7*('Stock Inputs'!$C$13/2+'String Schedule'!$J$7)+D15*'String Schedule'!$M$8*('Stock Inputs'!$C$13/2+'String Schedule'!$J$8)+E15*'String Schedule'!$M$9*('Stock Inputs'!$C$13/2+'String Schedule'!$J$9)+F15*'String Schedule'!$M$10*('Stock Inputs'!$C$13/2+'String Schedule'!$J$10),"")</x:f>
      </x:c>
      <x:c r="I15" s="25" t="str">
        <x:f>IF(AND('String Schedule'!$B$28="INPUTS RECORDED",AND(ISNUMBER('Stock Inputs'!$C$12),'Stock Inputs'!$C$12&gt;0,ISNUMBER('Stock Inputs'!$C$13),'Stock Inputs'!$C$13&gt;0),'Stock Inputs'!$C$29="YES",'Stock Inputs'!$C$30="YES"),-(B15*'String Schedule'!$M$6*'String Schedule'!$I$6+C15*'String Schedule'!$M$7*'String Schedule'!$I$7+D15*'String Schedule'!$M$8*'String Schedule'!$I$8+E15*'String Schedule'!$M$9*'String Schedule'!$I$9+F15*'String Schedule'!$M$10*'String Schedule'!$I$10),"")</x:f>
      </x:c>
    </x:row>
    <x:row r="16" ht="28" customHeight="1">
      <x:c r="A16" s="9" t="str">
        <x:v>LC-10</x:v>
      </x:c>
      <x:c r="B16" s="9" t="n">
        <x:v>0</x:v>
      </x:c>
      <x:c r="C16" s="9" t="n">
        <x:v>1</x:v>
      </x:c>
      <x:c r="D16" s="9" t="n">
        <x:v>0</x:v>
      </x:c>
      <x:c r="E16" s="9" t="n">
        <x:v>1</x:v>
      </x:c>
      <x:c r="F16" s="9" t="n">
        <x:v>0</x:v>
      </x:c>
      <x:c r="G16" s="24" t="str">
        <x:f>IF(AND('String Schedule'!$B$28="INPUTS RECORDED",AND(ISNUMBER('Stock Inputs'!$C$12),'Stock Inputs'!$C$12&gt;0,ISNUMBER('Stock Inputs'!$C$13),'Stock Inputs'!$C$13&gt;0),'Stock Inputs'!$C$29="YES",'Stock Inputs'!$C$30="YES"),B16*'String Schedule'!$M$6+C16*'String Schedule'!$M$7+D16*'String Schedule'!$M$8+E16*'String Schedule'!$M$9+F16*'String Schedule'!$M$10,"")</x:f>
      </x:c>
      <x:c r="H16" s="24" t="str">
        <x:f>IF(AND('String Schedule'!$B$28="INPUTS RECORDED",AND(ISNUMBER('Stock Inputs'!$C$12),'Stock Inputs'!$C$12&gt;0,ISNUMBER('Stock Inputs'!$C$13),'Stock Inputs'!$C$13&gt;0),'Stock Inputs'!$C$29="YES",'Stock Inputs'!$C$30="YES"),B16*'String Schedule'!$M$6*('Stock Inputs'!$C$13/2+'String Schedule'!$J$6)+C16*'String Schedule'!$M$7*('Stock Inputs'!$C$13/2+'String Schedule'!$J$7)+D16*'String Schedule'!$M$8*('Stock Inputs'!$C$13/2+'String Schedule'!$J$8)+E16*'String Schedule'!$M$9*('Stock Inputs'!$C$13/2+'String Schedule'!$J$9)+F16*'String Schedule'!$M$10*('Stock Inputs'!$C$13/2+'String Schedule'!$J$10),"")</x:f>
      </x:c>
      <x:c r="I16" s="24" t="str">
        <x:f>IF(AND('String Schedule'!$B$28="INPUTS RECORDED",AND(ISNUMBER('Stock Inputs'!$C$12),'Stock Inputs'!$C$12&gt;0,ISNUMBER('Stock Inputs'!$C$13),'Stock Inputs'!$C$13&gt;0),'Stock Inputs'!$C$29="YES",'Stock Inputs'!$C$30="YES"),-(B16*'String Schedule'!$M$6*'String Schedule'!$I$6+C16*'String Schedule'!$M$7*'String Schedule'!$I$7+D16*'String Schedule'!$M$8*'String Schedule'!$I$8+E16*'String Schedule'!$M$9*'String Schedule'!$I$9+F16*'String Schedule'!$M$10*'String Schedule'!$I$10),"")</x:f>
      </x:c>
    </x:row>
    <x:row r="17" ht="28" customHeight="1">
      <x:c r="A17" s="3" t="str">
        <x:v>LC-11</x:v>
      </x:c>
      <x:c r="B17" s="3" t="n">
        <x:v>1</x:v>
      </x:c>
      <x:c r="C17" s="3" t="n">
        <x:v>1</x:v>
      </x:c>
      <x:c r="D17" s="3" t="n">
        <x:v>0</x:v>
      </x:c>
      <x:c r="E17" s="3" t="n">
        <x:v>1</x:v>
      </x:c>
      <x:c r="F17" s="3" t="n">
        <x:v>0</x:v>
      </x:c>
      <x:c r="G17" s="25" t="str">
        <x:f>IF(AND('String Schedule'!$B$28="INPUTS RECORDED",AND(ISNUMBER('Stock Inputs'!$C$12),'Stock Inputs'!$C$12&gt;0,ISNUMBER('Stock Inputs'!$C$13),'Stock Inputs'!$C$13&gt;0),'Stock Inputs'!$C$29="YES",'Stock Inputs'!$C$30="YES"),B17*'String Schedule'!$M$6+C17*'String Schedule'!$M$7+D17*'String Schedule'!$M$8+E17*'String Schedule'!$M$9+F17*'String Schedule'!$M$10,"")</x:f>
      </x:c>
      <x:c r="H17" s="25" t="str">
        <x:f>IF(AND('String Schedule'!$B$28="INPUTS RECORDED",AND(ISNUMBER('Stock Inputs'!$C$12),'Stock Inputs'!$C$12&gt;0,ISNUMBER('Stock Inputs'!$C$13),'Stock Inputs'!$C$13&gt;0),'Stock Inputs'!$C$29="YES",'Stock Inputs'!$C$30="YES"),B17*'String Schedule'!$M$6*('Stock Inputs'!$C$13/2+'String Schedule'!$J$6)+C17*'String Schedule'!$M$7*('Stock Inputs'!$C$13/2+'String Schedule'!$J$7)+D17*'String Schedule'!$M$8*('Stock Inputs'!$C$13/2+'String Schedule'!$J$8)+E17*'String Schedule'!$M$9*('Stock Inputs'!$C$13/2+'String Schedule'!$J$9)+F17*'String Schedule'!$M$10*('Stock Inputs'!$C$13/2+'String Schedule'!$J$10),"")</x:f>
      </x:c>
      <x:c r="I17" s="25" t="str">
        <x:f>IF(AND('String Schedule'!$B$28="INPUTS RECORDED",AND(ISNUMBER('Stock Inputs'!$C$12),'Stock Inputs'!$C$12&gt;0,ISNUMBER('Stock Inputs'!$C$13),'Stock Inputs'!$C$13&gt;0),'Stock Inputs'!$C$29="YES",'Stock Inputs'!$C$30="YES"),-(B17*'String Schedule'!$M$6*'String Schedule'!$I$6+C17*'String Schedule'!$M$7*'String Schedule'!$I$7+D17*'String Schedule'!$M$8*'String Schedule'!$I$8+E17*'String Schedule'!$M$9*'String Schedule'!$I$9+F17*'String Schedule'!$M$10*'String Schedule'!$I$10),"")</x:f>
      </x:c>
    </x:row>
    <x:row r="18" ht="28" customHeight="1">
      <x:c r="A18" s="9" t="str">
        <x:v>LC-12</x:v>
      </x:c>
      <x:c r="B18" s="9" t="n">
        <x:v>0</x:v>
      </x:c>
      <x:c r="C18" s="9" t="n">
        <x:v>0</x:v>
      </x:c>
      <x:c r="D18" s="9" t="n">
        <x:v>1</x:v>
      </x:c>
      <x:c r="E18" s="9" t="n">
        <x:v>1</x:v>
      </x:c>
      <x:c r="F18" s="9" t="n">
        <x:v>0</x:v>
      </x:c>
      <x:c r="G18" s="24" t="str">
        <x:f>IF(AND('String Schedule'!$B$28="INPUTS RECORDED",AND(ISNUMBER('Stock Inputs'!$C$12),'Stock Inputs'!$C$12&gt;0,ISNUMBER('Stock Inputs'!$C$13),'Stock Inputs'!$C$13&gt;0),'Stock Inputs'!$C$29="YES",'Stock Inputs'!$C$30="YES"),B18*'String Schedule'!$M$6+C18*'String Schedule'!$M$7+D18*'String Schedule'!$M$8+E18*'String Schedule'!$M$9+F18*'String Schedule'!$M$10,"")</x:f>
      </x:c>
      <x:c r="H18" s="24" t="str">
        <x:f>IF(AND('String Schedule'!$B$28="INPUTS RECORDED",AND(ISNUMBER('Stock Inputs'!$C$12),'Stock Inputs'!$C$12&gt;0,ISNUMBER('Stock Inputs'!$C$13),'Stock Inputs'!$C$13&gt;0),'Stock Inputs'!$C$29="YES",'Stock Inputs'!$C$30="YES"),B18*'String Schedule'!$M$6*('Stock Inputs'!$C$13/2+'String Schedule'!$J$6)+C18*'String Schedule'!$M$7*('Stock Inputs'!$C$13/2+'String Schedule'!$J$7)+D18*'String Schedule'!$M$8*('Stock Inputs'!$C$13/2+'String Schedule'!$J$8)+E18*'String Schedule'!$M$9*('Stock Inputs'!$C$13/2+'String Schedule'!$J$9)+F18*'String Schedule'!$M$10*('Stock Inputs'!$C$13/2+'String Schedule'!$J$10),"")</x:f>
      </x:c>
      <x:c r="I18" s="24" t="str">
        <x:f>IF(AND('String Schedule'!$B$28="INPUTS RECORDED",AND(ISNUMBER('Stock Inputs'!$C$12),'Stock Inputs'!$C$12&gt;0,ISNUMBER('Stock Inputs'!$C$13),'Stock Inputs'!$C$13&gt;0),'Stock Inputs'!$C$29="YES",'Stock Inputs'!$C$30="YES"),-(B18*'String Schedule'!$M$6*'String Schedule'!$I$6+C18*'String Schedule'!$M$7*'String Schedule'!$I$7+D18*'String Schedule'!$M$8*'String Schedule'!$I$8+E18*'String Schedule'!$M$9*'String Schedule'!$I$9+F18*'String Schedule'!$M$10*'String Schedule'!$I$10),"")</x:f>
      </x:c>
    </x:row>
    <x:row r="19" ht="28" customHeight="1">
      <x:c r="A19" s="3" t="str">
        <x:v>LC-13</x:v>
      </x:c>
      <x:c r="B19" s="3" t="n">
        <x:v>1</x:v>
      </x:c>
      <x:c r="C19" s="3" t="n">
        <x:v>0</x:v>
      </x:c>
      <x:c r="D19" s="3" t="n">
        <x:v>1</x:v>
      </x:c>
      <x:c r="E19" s="3" t="n">
        <x:v>1</x:v>
      </x:c>
      <x:c r="F19" s="3" t="n">
        <x:v>0</x:v>
      </x:c>
      <x:c r="G19" s="25" t="str">
        <x:f>IF(AND('String Schedule'!$B$28="INPUTS RECORDED",AND(ISNUMBER('Stock Inputs'!$C$12),'Stock Inputs'!$C$12&gt;0,ISNUMBER('Stock Inputs'!$C$13),'Stock Inputs'!$C$13&gt;0),'Stock Inputs'!$C$29="YES",'Stock Inputs'!$C$30="YES"),B19*'String Schedule'!$M$6+C19*'String Schedule'!$M$7+D19*'String Schedule'!$M$8+E19*'String Schedule'!$M$9+F19*'String Schedule'!$M$10,"")</x:f>
      </x:c>
      <x:c r="H19" s="25" t="str">
        <x:f>IF(AND('String Schedule'!$B$28="INPUTS RECORDED",AND(ISNUMBER('Stock Inputs'!$C$12),'Stock Inputs'!$C$12&gt;0,ISNUMBER('Stock Inputs'!$C$13),'Stock Inputs'!$C$13&gt;0),'Stock Inputs'!$C$29="YES",'Stock Inputs'!$C$30="YES"),B19*'String Schedule'!$M$6*('Stock Inputs'!$C$13/2+'String Schedule'!$J$6)+C19*'String Schedule'!$M$7*('Stock Inputs'!$C$13/2+'String Schedule'!$J$7)+D19*'String Schedule'!$M$8*('Stock Inputs'!$C$13/2+'String Schedule'!$J$8)+E19*'String Schedule'!$M$9*('Stock Inputs'!$C$13/2+'String Schedule'!$J$9)+F19*'String Schedule'!$M$10*('Stock Inputs'!$C$13/2+'String Schedule'!$J$10),"")</x:f>
      </x:c>
      <x:c r="I19" s="25" t="str">
        <x:f>IF(AND('String Schedule'!$B$28="INPUTS RECORDED",AND(ISNUMBER('Stock Inputs'!$C$12),'Stock Inputs'!$C$12&gt;0,ISNUMBER('Stock Inputs'!$C$13),'Stock Inputs'!$C$13&gt;0),'Stock Inputs'!$C$29="YES",'Stock Inputs'!$C$30="YES"),-(B19*'String Schedule'!$M$6*'String Schedule'!$I$6+C19*'String Schedule'!$M$7*'String Schedule'!$I$7+D19*'String Schedule'!$M$8*'String Schedule'!$I$8+E19*'String Schedule'!$M$9*'String Schedule'!$I$9+F19*'String Schedule'!$M$10*'String Schedule'!$I$10),"")</x:f>
      </x:c>
    </x:row>
    <x:row r="20" ht="28" customHeight="1">
      <x:c r="A20" s="9" t="str">
        <x:v>LC-14</x:v>
      </x:c>
      <x:c r="B20" s="9" t="n">
        <x:v>0</x:v>
      </x:c>
      <x:c r="C20" s="9" t="n">
        <x:v>1</x:v>
      </x:c>
      <x:c r="D20" s="9" t="n">
        <x:v>1</x:v>
      </x:c>
      <x:c r="E20" s="9" t="n">
        <x:v>1</x:v>
      </x:c>
      <x:c r="F20" s="9" t="n">
        <x:v>0</x:v>
      </x:c>
      <x:c r="G20" s="24" t="str">
        <x:f>IF(AND('String Schedule'!$B$28="INPUTS RECORDED",AND(ISNUMBER('Stock Inputs'!$C$12),'Stock Inputs'!$C$12&gt;0,ISNUMBER('Stock Inputs'!$C$13),'Stock Inputs'!$C$13&gt;0),'Stock Inputs'!$C$29="YES",'Stock Inputs'!$C$30="YES"),B20*'String Schedule'!$M$6+C20*'String Schedule'!$M$7+D20*'String Schedule'!$M$8+E20*'String Schedule'!$M$9+F20*'String Schedule'!$M$10,"")</x:f>
      </x:c>
      <x:c r="H20" s="24" t="str">
        <x:f>IF(AND('String Schedule'!$B$28="INPUTS RECORDED",AND(ISNUMBER('Stock Inputs'!$C$12),'Stock Inputs'!$C$12&gt;0,ISNUMBER('Stock Inputs'!$C$13),'Stock Inputs'!$C$13&gt;0),'Stock Inputs'!$C$29="YES",'Stock Inputs'!$C$30="YES"),B20*'String Schedule'!$M$6*('Stock Inputs'!$C$13/2+'String Schedule'!$J$6)+C20*'String Schedule'!$M$7*('Stock Inputs'!$C$13/2+'String Schedule'!$J$7)+D20*'String Schedule'!$M$8*('Stock Inputs'!$C$13/2+'String Schedule'!$J$8)+E20*'String Schedule'!$M$9*('Stock Inputs'!$C$13/2+'String Schedule'!$J$9)+F20*'String Schedule'!$M$10*('Stock Inputs'!$C$13/2+'String Schedule'!$J$10),"")</x:f>
      </x:c>
      <x:c r="I20" s="24" t="str">
        <x:f>IF(AND('String Schedule'!$B$28="INPUTS RECORDED",AND(ISNUMBER('Stock Inputs'!$C$12),'Stock Inputs'!$C$12&gt;0,ISNUMBER('Stock Inputs'!$C$13),'Stock Inputs'!$C$13&gt;0),'Stock Inputs'!$C$29="YES",'Stock Inputs'!$C$30="YES"),-(B20*'String Schedule'!$M$6*'String Schedule'!$I$6+C20*'String Schedule'!$M$7*'String Schedule'!$I$7+D20*'String Schedule'!$M$8*'String Schedule'!$I$8+E20*'String Schedule'!$M$9*'String Schedule'!$I$9+F20*'String Schedule'!$M$10*'String Schedule'!$I$10),"")</x:f>
      </x:c>
    </x:row>
    <x:row r="21" ht="28" customHeight="1">
      <x:c r="A21" s="3" t="str">
        <x:v>LC-15</x:v>
      </x:c>
      <x:c r="B21" s="3" t="n">
        <x:v>1</x:v>
      </x:c>
      <x:c r="C21" s="3" t="n">
        <x:v>1</x:v>
      </x:c>
      <x:c r="D21" s="3" t="n">
        <x:v>1</x:v>
      </x:c>
      <x:c r="E21" s="3" t="n">
        <x:v>1</x:v>
      </x:c>
      <x:c r="F21" s="3" t="n">
        <x:v>0</x:v>
      </x:c>
      <x:c r="G21" s="25" t="str">
        <x:f>IF(AND('String Schedule'!$B$28="INPUTS RECORDED",AND(ISNUMBER('Stock Inputs'!$C$12),'Stock Inputs'!$C$12&gt;0,ISNUMBER('Stock Inputs'!$C$13),'Stock Inputs'!$C$13&gt;0),'Stock Inputs'!$C$29="YES",'Stock Inputs'!$C$30="YES"),B21*'String Schedule'!$M$6+C21*'String Schedule'!$M$7+D21*'String Schedule'!$M$8+E21*'String Schedule'!$M$9+F21*'String Schedule'!$M$10,"")</x:f>
      </x:c>
      <x:c r="H21" s="25" t="str">
        <x:f>IF(AND('String Schedule'!$B$28="INPUTS RECORDED",AND(ISNUMBER('Stock Inputs'!$C$12),'Stock Inputs'!$C$12&gt;0,ISNUMBER('Stock Inputs'!$C$13),'Stock Inputs'!$C$13&gt;0),'Stock Inputs'!$C$29="YES",'Stock Inputs'!$C$30="YES"),B21*'String Schedule'!$M$6*('Stock Inputs'!$C$13/2+'String Schedule'!$J$6)+C21*'String Schedule'!$M$7*('Stock Inputs'!$C$13/2+'String Schedule'!$J$7)+D21*'String Schedule'!$M$8*('Stock Inputs'!$C$13/2+'String Schedule'!$J$8)+E21*'String Schedule'!$M$9*('Stock Inputs'!$C$13/2+'String Schedule'!$J$9)+F21*'String Schedule'!$M$10*('Stock Inputs'!$C$13/2+'String Schedule'!$J$10),"")</x:f>
      </x:c>
      <x:c r="I21" s="25" t="str">
        <x:f>IF(AND('String Schedule'!$B$28="INPUTS RECORDED",AND(ISNUMBER('Stock Inputs'!$C$12),'Stock Inputs'!$C$12&gt;0,ISNUMBER('Stock Inputs'!$C$13),'Stock Inputs'!$C$13&gt;0),'Stock Inputs'!$C$29="YES",'Stock Inputs'!$C$30="YES"),-(B21*'String Schedule'!$M$6*'String Schedule'!$I$6+C21*'String Schedule'!$M$7*'String Schedule'!$I$7+D21*'String Schedule'!$M$8*'String Schedule'!$I$8+E21*'String Schedule'!$M$9*'String Schedule'!$I$9+F21*'String Schedule'!$M$10*'String Schedule'!$I$10),"")</x:f>
      </x:c>
    </x:row>
    <x:row r="22" ht="28" customHeight="1">
      <x:c r="A22" s="9" t="str">
        <x:v>LC-16</x:v>
      </x:c>
      <x:c r="B22" s="9" t="n">
        <x:v>0</x:v>
      </x:c>
      <x:c r="C22" s="9" t="n">
        <x:v>0</x:v>
      </x:c>
      <x:c r="D22" s="9" t="n">
        <x:v>0</x:v>
      </x:c>
      <x:c r="E22" s="9" t="n">
        <x:v>0</x:v>
      </x:c>
      <x:c r="F22" s="9" t="n">
        <x:v>1</x:v>
      </x:c>
      <x:c r="G22" s="24" t="str">
        <x:f>IF(AND('String Schedule'!$B$28="INPUTS RECORDED",AND(ISNUMBER('Stock Inputs'!$C$12),'Stock Inputs'!$C$12&gt;0,ISNUMBER('Stock Inputs'!$C$13),'Stock Inputs'!$C$13&gt;0),'Stock Inputs'!$C$29="YES",'Stock Inputs'!$C$30="YES"),B22*'String Schedule'!$M$6+C22*'String Schedule'!$M$7+D22*'String Schedule'!$M$8+E22*'String Schedule'!$M$9+F22*'String Schedule'!$M$10,"")</x:f>
      </x:c>
      <x:c r="H22" s="24" t="str">
        <x:f>IF(AND('String Schedule'!$B$28="INPUTS RECORDED",AND(ISNUMBER('Stock Inputs'!$C$12),'Stock Inputs'!$C$12&gt;0,ISNUMBER('Stock Inputs'!$C$13),'Stock Inputs'!$C$13&gt;0),'Stock Inputs'!$C$29="YES",'Stock Inputs'!$C$30="YES"),B22*'String Schedule'!$M$6*('Stock Inputs'!$C$13/2+'String Schedule'!$J$6)+C22*'String Schedule'!$M$7*('Stock Inputs'!$C$13/2+'String Schedule'!$J$7)+D22*'String Schedule'!$M$8*('Stock Inputs'!$C$13/2+'String Schedule'!$J$8)+E22*'String Schedule'!$M$9*('Stock Inputs'!$C$13/2+'String Schedule'!$J$9)+F22*'String Schedule'!$M$10*('Stock Inputs'!$C$13/2+'String Schedule'!$J$10),"")</x:f>
      </x:c>
      <x:c r="I22" s="24" t="str">
        <x:f>IF(AND('String Schedule'!$B$28="INPUTS RECORDED",AND(ISNUMBER('Stock Inputs'!$C$12),'Stock Inputs'!$C$12&gt;0,ISNUMBER('Stock Inputs'!$C$13),'Stock Inputs'!$C$13&gt;0),'Stock Inputs'!$C$29="YES",'Stock Inputs'!$C$30="YES"),-(B22*'String Schedule'!$M$6*'String Schedule'!$I$6+C22*'String Schedule'!$M$7*'String Schedule'!$I$7+D22*'String Schedule'!$M$8*'String Schedule'!$I$8+E22*'String Schedule'!$M$9*'String Schedule'!$I$9+F22*'String Schedule'!$M$10*'String Schedule'!$I$10),"")</x:f>
      </x:c>
    </x:row>
    <x:row r="23" ht="28" customHeight="1">
      <x:c r="A23" s="3" t="str">
        <x:v>LC-17</x:v>
      </x:c>
      <x:c r="B23" s="3" t="n">
        <x:v>1</x:v>
      </x:c>
      <x:c r="C23" s="3" t="n">
        <x:v>0</x:v>
      </x:c>
      <x:c r="D23" s="3" t="n">
        <x:v>0</x:v>
      </x:c>
      <x:c r="E23" s="3" t="n">
        <x:v>0</x:v>
      </x:c>
      <x:c r="F23" s="3" t="n">
        <x:v>1</x:v>
      </x:c>
      <x:c r="G23" s="25" t="str">
        <x:f>IF(AND('String Schedule'!$B$28="INPUTS RECORDED",AND(ISNUMBER('Stock Inputs'!$C$12),'Stock Inputs'!$C$12&gt;0,ISNUMBER('Stock Inputs'!$C$13),'Stock Inputs'!$C$13&gt;0),'Stock Inputs'!$C$29="YES",'Stock Inputs'!$C$30="YES"),B23*'String Schedule'!$M$6+C23*'String Schedule'!$M$7+D23*'String Schedule'!$M$8+E23*'String Schedule'!$M$9+F23*'String Schedule'!$M$10,"")</x:f>
      </x:c>
      <x:c r="H23" s="25" t="str">
        <x:f>IF(AND('String Schedule'!$B$28="INPUTS RECORDED",AND(ISNUMBER('Stock Inputs'!$C$12),'Stock Inputs'!$C$12&gt;0,ISNUMBER('Stock Inputs'!$C$13),'Stock Inputs'!$C$13&gt;0),'Stock Inputs'!$C$29="YES",'Stock Inputs'!$C$30="YES"),B23*'String Schedule'!$M$6*('Stock Inputs'!$C$13/2+'String Schedule'!$J$6)+C23*'String Schedule'!$M$7*('Stock Inputs'!$C$13/2+'String Schedule'!$J$7)+D23*'String Schedule'!$M$8*('Stock Inputs'!$C$13/2+'String Schedule'!$J$8)+E23*'String Schedule'!$M$9*('Stock Inputs'!$C$13/2+'String Schedule'!$J$9)+F23*'String Schedule'!$M$10*('Stock Inputs'!$C$13/2+'String Schedule'!$J$10),"")</x:f>
      </x:c>
      <x:c r="I23" s="25" t="str">
        <x:f>IF(AND('String Schedule'!$B$28="INPUTS RECORDED",AND(ISNUMBER('Stock Inputs'!$C$12),'Stock Inputs'!$C$12&gt;0,ISNUMBER('Stock Inputs'!$C$13),'Stock Inputs'!$C$13&gt;0),'Stock Inputs'!$C$29="YES",'Stock Inputs'!$C$30="YES"),-(B23*'String Schedule'!$M$6*'String Schedule'!$I$6+C23*'String Schedule'!$M$7*'String Schedule'!$I$7+D23*'String Schedule'!$M$8*'String Schedule'!$I$8+E23*'String Schedule'!$M$9*'String Schedule'!$I$9+F23*'String Schedule'!$M$10*'String Schedule'!$I$10),"")</x:f>
      </x:c>
    </x:row>
    <x:row r="24" ht="28" customHeight="1">
      <x:c r="A24" s="9" t="str">
        <x:v>LC-18</x:v>
      </x:c>
      <x:c r="B24" s="9" t="n">
        <x:v>0</x:v>
      </x:c>
      <x:c r="C24" s="9" t="n">
        <x:v>1</x:v>
      </x:c>
      <x:c r="D24" s="9" t="n">
        <x:v>0</x:v>
      </x:c>
      <x:c r="E24" s="9" t="n">
        <x:v>0</x:v>
      </x:c>
      <x:c r="F24" s="9" t="n">
        <x:v>1</x:v>
      </x:c>
      <x:c r="G24" s="24" t="str">
        <x:f>IF(AND('String Schedule'!$B$28="INPUTS RECORDED",AND(ISNUMBER('Stock Inputs'!$C$12),'Stock Inputs'!$C$12&gt;0,ISNUMBER('Stock Inputs'!$C$13),'Stock Inputs'!$C$13&gt;0),'Stock Inputs'!$C$29="YES",'Stock Inputs'!$C$30="YES"),B24*'String Schedule'!$M$6+C24*'String Schedule'!$M$7+D24*'String Schedule'!$M$8+E24*'String Schedule'!$M$9+F24*'String Schedule'!$M$10,"")</x:f>
      </x:c>
      <x:c r="H24" s="24" t="str">
        <x:f>IF(AND('String Schedule'!$B$28="INPUTS RECORDED",AND(ISNUMBER('Stock Inputs'!$C$12),'Stock Inputs'!$C$12&gt;0,ISNUMBER('Stock Inputs'!$C$13),'Stock Inputs'!$C$13&gt;0),'Stock Inputs'!$C$29="YES",'Stock Inputs'!$C$30="YES"),B24*'String Schedule'!$M$6*('Stock Inputs'!$C$13/2+'String Schedule'!$J$6)+C24*'String Schedule'!$M$7*('Stock Inputs'!$C$13/2+'String Schedule'!$J$7)+D24*'String Schedule'!$M$8*('Stock Inputs'!$C$13/2+'String Schedule'!$J$8)+E24*'String Schedule'!$M$9*('Stock Inputs'!$C$13/2+'String Schedule'!$J$9)+F24*'String Schedule'!$M$10*('Stock Inputs'!$C$13/2+'String Schedule'!$J$10),"")</x:f>
      </x:c>
      <x:c r="I24" s="24" t="str">
        <x:f>IF(AND('String Schedule'!$B$28="INPUTS RECORDED",AND(ISNUMBER('Stock Inputs'!$C$12),'Stock Inputs'!$C$12&gt;0,ISNUMBER('Stock Inputs'!$C$13),'Stock Inputs'!$C$13&gt;0),'Stock Inputs'!$C$29="YES",'Stock Inputs'!$C$30="YES"),-(B24*'String Schedule'!$M$6*'String Schedule'!$I$6+C24*'String Schedule'!$M$7*'String Schedule'!$I$7+D24*'String Schedule'!$M$8*'String Schedule'!$I$8+E24*'String Schedule'!$M$9*'String Schedule'!$I$9+F24*'String Schedule'!$M$10*'String Schedule'!$I$10),"")</x:f>
      </x:c>
    </x:row>
    <x:row r="25" ht="28" customHeight="1">
      <x:c r="A25" s="3" t="str">
        <x:v>LC-19</x:v>
      </x:c>
      <x:c r="B25" s="3" t="n">
        <x:v>1</x:v>
      </x:c>
      <x:c r="C25" s="3" t="n">
        <x:v>1</x:v>
      </x:c>
      <x:c r="D25" s="3" t="n">
        <x:v>0</x:v>
      </x:c>
      <x:c r="E25" s="3" t="n">
        <x:v>0</x:v>
      </x:c>
      <x:c r="F25" s="3" t="n">
        <x:v>1</x:v>
      </x:c>
      <x:c r="G25" s="25" t="str">
        <x:f>IF(AND('String Schedule'!$B$28="INPUTS RECORDED",AND(ISNUMBER('Stock Inputs'!$C$12),'Stock Inputs'!$C$12&gt;0,ISNUMBER('Stock Inputs'!$C$13),'Stock Inputs'!$C$13&gt;0),'Stock Inputs'!$C$29="YES",'Stock Inputs'!$C$30="YES"),B25*'String Schedule'!$M$6+C25*'String Schedule'!$M$7+D25*'String Schedule'!$M$8+E25*'String Schedule'!$M$9+F25*'String Schedule'!$M$10,"")</x:f>
      </x:c>
      <x:c r="H25" s="25" t="str">
        <x:f>IF(AND('String Schedule'!$B$28="INPUTS RECORDED",AND(ISNUMBER('Stock Inputs'!$C$12),'Stock Inputs'!$C$12&gt;0,ISNUMBER('Stock Inputs'!$C$13),'Stock Inputs'!$C$13&gt;0),'Stock Inputs'!$C$29="YES",'Stock Inputs'!$C$30="YES"),B25*'String Schedule'!$M$6*('Stock Inputs'!$C$13/2+'String Schedule'!$J$6)+C25*'String Schedule'!$M$7*('Stock Inputs'!$C$13/2+'String Schedule'!$J$7)+D25*'String Schedule'!$M$8*('Stock Inputs'!$C$13/2+'String Schedule'!$J$8)+E25*'String Schedule'!$M$9*('Stock Inputs'!$C$13/2+'String Schedule'!$J$9)+F25*'String Schedule'!$M$10*('Stock Inputs'!$C$13/2+'String Schedule'!$J$10),"")</x:f>
      </x:c>
      <x:c r="I25" s="25" t="str">
        <x:f>IF(AND('String Schedule'!$B$28="INPUTS RECORDED",AND(ISNUMBER('Stock Inputs'!$C$12),'Stock Inputs'!$C$12&gt;0,ISNUMBER('Stock Inputs'!$C$13),'Stock Inputs'!$C$13&gt;0),'Stock Inputs'!$C$29="YES",'Stock Inputs'!$C$30="YES"),-(B25*'String Schedule'!$M$6*'String Schedule'!$I$6+C25*'String Schedule'!$M$7*'String Schedule'!$I$7+D25*'String Schedule'!$M$8*'String Schedule'!$I$8+E25*'String Schedule'!$M$9*'String Schedule'!$I$9+F25*'String Schedule'!$M$10*'String Schedule'!$I$10),"")</x:f>
      </x:c>
    </x:row>
    <x:row r="26" ht="28" customHeight="1">
      <x:c r="A26" s="9" t="str">
        <x:v>LC-20</x:v>
      </x:c>
      <x:c r="B26" s="9" t="n">
        <x:v>0</x:v>
      </x:c>
      <x:c r="C26" s="9" t="n">
        <x:v>0</x:v>
      </x:c>
      <x:c r="D26" s="9" t="n">
        <x:v>1</x:v>
      </x:c>
      <x:c r="E26" s="9" t="n">
        <x:v>0</x:v>
      </x:c>
      <x:c r="F26" s="9" t="n">
        <x:v>1</x:v>
      </x:c>
      <x:c r="G26" s="24" t="str">
        <x:f>IF(AND('String Schedule'!$B$28="INPUTS RECORDED",AND(ISNUMBER('Stock Inputs'!$C$12),'Stock Inputs'!$C$12&gt;0,ISNUMBER('Stock Inputs'!$C$13),'Stock Inputs'!$C$13&gt;0),'Stock Inputs'!$C$29="YES",'Stock Inputs'!$C$30="YES"),B26*'String Schedule'!$M$6+C26*'String Schedule'!$M$7+D26*'String Schedule'!$M$8+E26*'String Schedule'!$M$9+F26*'String Schedule'!$M$10,"")</x:f>
      </x:c>
      <x:c r="H26" s="24" t="str">
        <x:f>IF(AND('String Schedule'!$B$28="INPUTS RECORDED",AND(ISNUMBER('Stock Inputs'!$C$12),'Stock Inputs'!$C$12&gt;0,ISNUMBER('Stock Inputs'!$C$13),'Stock Inputs'!$C$13&gt;0),'Stock Inputs'!$C$29="YES",'Stock Inputs'!$C$30="YES"),B26*'String Schedule'!$M$6*('Stock Inputs'!$C$13/2+'String Schedule'!$J$6)+C26*'String Schedule'!$M$7*('Stock Inputs'!$C$13/2+'String Schedule'!$J$7)+D26*'String Schedule'!$M$8*('Stock Inputs'!$C$13/2+'String Schedule'!$J$8)+E26*'String Schedule'!$M$9*('Stock Inputs'!$C$13/2+'String Schedule'!$J$9)+F26*'String Schedule'!$M$10*('Stock Inputs'!$C$13/2+'String Schedule'!$J$10),"")</x:f>
      </x:c>
      <x:c r="I26" s="24" t="str">
        <x:f>IF(AND('String Schedule'!$B$28="INPUTS RECORDED",AND(ISNUMBER('Stock Inputs'!$C$12),'Stock Inputs'!$C$12&gt;0,ISNUMBER('Stock Inputs'!$C$13),'Stock Inputs'!$C$13&gt;0),'Stock Inputs'!$C$29="YES",'Stock Inputs'!$C$30="YES"),-(B26*'String Schedule'!$M$6*'String Schedule'!$I$6+C26*'String Schedule'!$M$7*'String Schedule'!$I$7+D26*'String Schedule'!$M$8*'String Schedule'!$I$8+E26*'String Schedule'!$M$9*'String Schedule'!$I$9+F26*'String Schedule'!$M$10*'String Schedule'!$I$10),"")</x:f>
      </x:c>
    </x:row>
    <x:row r="27" ht="28" customHeight="1">
      <x:c r="A27" s="3" t="str">
        <x:v>LC-21</x:v>
      </x:c>
      <x:c r="B27" s="3" t="n">
        <x:v>1</x:v>
      </x:c>
      <x:c r="C27" s="3" t="n">
        <x:v>0</x:v>
      </x:c>
      <x:c r="D27" s="3" t="n">
        <x:v>1</x:v>
      </x:c>
      <x:c r="E27" s="3" t="n">
        <x:v>0</x:v>
      </x:c>
      <x:c r="F27" s="3" t="n">
        <x:v>1</x:v>
      </x:c>
      <x:c r="G27" s="25" t="str">
        <x:f>IF(AND('String Schedule'!$B$28="INPUTS RECORDED",AND(ISNUMBER('Stock Inputs'!$C$12),'Stock Inputs'!$C$12&gt;0,ISNUMBER('Stock Inputs'!$C$13),'Stock Inputs'!$C$13&gt;0),'Stock Inputs'!$C$29="YES",'Stock Inputs'!$C$30="YES"),B27*'String Schedule'!$M$6+C27*'String Schedule'!$M$7+D27*'String Schedule'!$M$8+E27*'String Schedule'!$M$9+F27*'String Schedule'!$M$10,"")</x:f>
      </x:c>
      <x:c r="H27" s="25" t="str">
        <x:f>IF(AND('String Schedule'!$B$28="INPUTS RECORDED",AND(ISNUMBER('Stock Inputs'!$C$12),'Stock Inputs'!$C$12&gt;0,ISNUMBER('Stock Inputs'!$C$13),'Stock Inputs'!$C$13&gt;0),'Stock Inputs'!$C$29="YES",'Stock Inputs'!$C$30="YES"),B27*'String Schedule'!$M$6*('Stock Inputs'!$C$13/2+'String Schedule'!$J$6)+C27*'String Schedule'!$M$7*('Stock Inputs'!$C$13/2+'String Schedule'!$J$7)+D27*'String Schedule'!$M$8*('Stock Inputs'!$C$13/2+'String Schedule'!$J$8)+E27*'String Schedule'!$M$9*('Stock Inputs'!$C$13/2+'String Schedule'!$J$9)+F27*'String Schedule'!$M$10*('Stock Inputs'!$C$13/2+'String Schedule'!$J$10),"")</x:f>
      </x:c>
      <x:c r="I27" s="25" t="str">
        <x:f>IF(AND('String Schedule'!$B$28="INPUTS RECORDED",AND(ISNUMBER('Stock Inputs'!$C$12),'Stock Inputs'!$C$12&gt;0,ISNUMBER('Stock Inputs'!$C$13),'Stock Inputs'!$C$13&gt;0),'Stock Inputs'!$C$29="YES",'Stock Inputs'!$C$30="YES"),-(B27*'String Schedule'!$M$6*'String Schedule'!$I$6+C27*'String Schedule'!$M$7*'String Schedule'!$I$7+D27*'String Schedule'!$M$8*'String Schedule'!$I$8+E27*'String Schedule'!$M$9*'String Schedule'!$I$9+F27*'String Schedule'!$M$10*'String Schedule'!$I$10),"")</x:f>
      </x:c>
    </x:row>
    <x:row r="28" ht="28" customHeight="1">
      <x:c r="A28" s="9" t="str">
        <x:v>LC-22</x:v>
      </x:c>
      <x:c r="B28" s="9" t="n">
        <x:v>0</x:v>
      </x:c>
      <x:c r="C28" s="9" t="n">
        <x:v>1</x:v>
      </x:c>
      <x:c r="D28" s="9" t="n">
        <x:v>1</x:v>
      </x:c>
      <x:c r="E28" s="9" t="n">
        <x:v>0</x:v>
      </x:c>
      <x:c r="F28" s="9" t="n">
        <x:v>1</x:v>
      </x:c>
      <x:c r="G28" s="24" t="str">
        <x:f>IF(AND('String Schedule'!$B$28="INPUTS RECORDED",AND(ISNUMBER('Stock Inputs'!$C$12),'Stock Inputs'!$C$12&gt;0,ISNUMBER('Stock Inputs'!$C$13),'Stock Inputs'!$C$13&gt;0),'Stock Inputs'!$C$29="YES",'Stock Inputs'!$C$30="YES"),B28*'String Schedule'!$M$6+C28*'String Schedule'!$M$7+D28*'String Schedule'!$M$8+E28*'String Schedule'!$M$9+F28*'String Schedule'!$M$10,"")</x:f>
      </x:c>
      <x:c r="H28" s="24" t="str">
        <x:f>IF(AND('String Schedule'!$B$28="INPUTS RECORDED",AND(ISNUMBER('Stock Inputs'!$C$12),'Stock Inputs'!$C$12&gt;0,ISNUMBER('Stock Inputs'!$C$13),'Stock Inputs'!$C$13&gt;0),'Stock Inputs'!$C$29="YES",'Stock Inputs'!$C$30="YES"),B28*'String Schedule'!$M$6*('Stock Inputs'!$C$13/2+'String Schedule'!$J$6)+C28*'String Schedule'!$M$7*('Stock Inputs'!$C$13/2+'String Schedule'!$J$7)+D28*'String Schedule'!$M$8*('Stock Inputs'!$C$13/2+'String Schedule'!$J$8)+E28*'String Schedule'!$M$9*('Stock Inputs'!$C$13/2+'String Schedule'!$J$9)+F28*'String Schedule'!$M$10*('Stock Inputs'!$C$13/2+'String Schedule'!$J$10),"")</x:f>
      </x:c>
      <x:c r="I28" s="24" t="str">
        <x:f>IF(AND('String Schedule'!$B$28="INPUTS RECORDED",AND(ISNUMBER('Stock Inputs'!$C$12),'Stock Inputs'!$C$12&gt;0,ISNUMBER('Stock Inputs'!$C$13),'Stock Inputs'!$C$13&gt;0),'Stock Inputs'!$C$29="YES",'Stock Inputs'!$C$30="YES"),-(B28*'String Schedule'!$M$6*'String Schedule'!$I$6+C28*'String Schedule'!$M$7*'String Schedule'!$I$7+D28*'String Schedule'!$M$8*'String Schedule'!$I$8+E28*'String Schedule'!$M$9*'String Schedule'!$I$9+F28*'String Schedule'!$M$10*'String Schedule'!$I$10),"")</x:f>
      </x:c>
    </x:row>
    <x:row r="29" ht="28" customHeight="1">
      <x:c r="A29" s="3" t="str">
        <x:v>LC-23</x:v>
      </x:c>
      <x:c r="B29" s="3" t="n">
        <x:v>1</x:v>
      </x:c>
      <x:c r="C29" s="3" t="n">
        <x:v>1</x:v>
      </x:c>
      <x:c r="D29" s="3" t="n">
        <x:v>1</x:v>
      </x:c>
      <x:c r="E29" s="3" t="n">
        <x:v>0</x:v>
      </x:c>
      <x:c r="F29" s="3" t="n">
        <x:v>1</x:v>
      </x:c>
      <x:c r="G29" s="25" t="str">
        <x:f>IF(AND('String Schedule'!$B$28="INPUTS RECORDED",AND(ISNUMBER('Stock Inputs'!$C$12),'Stock Inputs'!$C$12&gt;0,ISNUMBER('Stock Inputs'!$C$13),'Stock Inputs'!$C$13&gt;0),'Stock Inputs'!$C$29="YES",'Stock Inputs'!$C$30="YES"),B29*'String Schedule'!$M$6+C29*'String Schedule'!$M$7+D29*'String Schedule'!$M$8+E29*'String Schedule'!$M$9+F29*'String Schedule'!$M$10,"")</x:f>
      </x:c>
      <x:c r="H29" s="25" t="str">
        <x:f>IF(AND('String Schedule'!$B$28="INPUTS RECORDED",AND(ISNUMBER('Stock Inputs'!$C$12),'Stock Inputs'!$C$12&gt;0,ISNUMBER('Stock Inputs'!$C$13),'Stock Inputs'!$C$13&gt;0),'Stock Inputs'!$C$29="YES",'Stock Inputs'!$C$30="YES"),B29*'String Schedule'!$M$6*('Stock Inputs'!$C$13/2+'String Schedule'!$J$6)+C29*'String Schedule'!$M$7*('Stock Inputs'!$C$13/2+'String Schedule'!$J$7)+D29*'String Schedule'!$M$8*('Stock Inputs'!$C$13/2+'String Schedule'!$J$8)+E29*'String Schedule'!$M$9*('Stock Inputs'!$C$13/2+'String Schedule'!$J$9)+F29*'String Schedule'!$M$10*('Stock Inputs'!$C$13/2+'String Schedule'!$J$10),"")</x:f>
      </x:c>
      <x:c r="I29" s="25" t="str">
        <x:f>IF(AND('String Schedule'!$B$28="INPUTS RECORDED",AND(ISNUMBER('Stock Inputs'!$C$12),'Stock Inputs'!$C$12&gt;0,ISNUMBER('Stock Inputs'!$C$13),'Stock Inputs'!$C$13&gt;0),'Stock Inputs'!$C$29="YES",'Stock Inputs'!$C$30="YES"),-(B29*'String Schedule'!$M$6*'String Schedule'!$I$6+C29*'String Schedule'!$M$7*'String Schedule'!$I$7+D29*'String Schedule'!$M$8*'String Schedule'!$I$8+E29*'String Schedule'!$M$9*'String Schedule'!$I$9+F29*'String Schedule'!$M$10*'String Schedule'!$I$10),"")</x:f>
      </x:c>
    </x:row>
    <x:row r="30" ht="28" customHeight="1">
      <x:c r="A30" s="9" t="str">
        <x:v>LC-24</x:v>
      </x:c>
      <x:c r="B30" s="9" t="n">
        <x:v>0</x:v>
      </x:c>
      <x:c r="C30" s="9" t="n">
        <x:v>0</x:v>
      </x:c>
      <x:c r="D30" s="9" t="n">
        <x:v>0</x:v>
      </x:c>
      <x:c r="E30" s="9" t="n">
        <x:v>1</x:v>
      </x:c>
      <x:c r="F30" s="9" t="n">
        <x:v>1</x:v>
      </x:c>
      <x:c r="G30" s="24" t="str">
        <x:f>IF(AND('String Schedule'!$B$28="INPUTS RECORDED",AND(ISNUMBER('Stock Inputs'!$C$12),'Stock Inputs'!$C$12&gt;0,ISNUMBER('Stock Inputs'!$C$13),'Stock Inputs'!$C$13&gt;0),'Stock Inputs'!$C$29="YES",'Stock Inputs'!$C$30="YES"),B30*'String Schedule'!$M$6+C30*'String Schedule'!$M$7+D30*'String Schedule'!$M$8+E30*'String Schedule'!$M$9+F30*'String Schedule'!$M$10,"")</x:f>
      </x:c>
      <x:c r="H30" s="24" t="str">
        <x:f>IF(AND('String Schedule'!$B$28="INPUTS RECORDED",AND(ISNUMBER('Stock Inputs'!$C$12),'Stock Inputs'!$C$12&gt;0,ISNUMBER('Stock Inputs'!$C$13),'Stock Inputs'!$C$13&gt;0),'Stock Inputs'!$C$29="YES",'Stock Inputs'!$C$30="YES"),B30*'String Schedule'!$M$6*('Stock Inputs'!$C$13/2+'String Schedule'!$J$6)+C30*'String Schedule'!$M$7*('Stock Inputs'!$C$13/2+'String Schedule'!$J$7)+D30*'String Schedule'!$M$8*('Stock Inputs'!$C$13/2+'String Schedule'!$J$8)+E30*'String Schedule'!$M$9*('Stock Inputs'!$C$13/2+'String Schedule'!$J$9)+F30*'String Schedule'!$M$10*('Stock Inputs'!$C$13/2+'String Schedule'!$J$10),"")</x:f>
      </x:c>
      <x:c r="I30" s="24" t="str">
        <x:f>IF(AND('String Schedule'!$B$28="INPUTS RECORDED",AND(ISNUMBER('Stock Inputs'!$C$12),'Stock Inputs'!$C$12&gt;0,ISNUMBER('Stock Inputs'!$C$13),'Stock Inputs'!$C$13&gt;0),'Stock Inputs'!$C$29="YES",'Stock Inputs'!$C$30="YES"),-(B30*'String Schedule'!$M$6*'String Schedule'!$I$6+C30*'String Schedule'!$M$7*'String Schedule'!$I$7+D30*'String Schedule'!$M$8*'String Schedule'!$I$8+E30*'String Schedule'!$M$9*'String Schedule'!$I$9+F30*'String Schedule'!$M$10*'String Schedule'!$I$10),"")</x:f>
      </x:c>
    </x:row>
    <x:row r="31" ht="28" customHeight="1">
      <x:c r="A31" s="3" t="str">
        <x:v>LC-25</x:v>
      </x:c>
      <x:c r="B31" s="3" t="n">
        <x:v>1</x:v>
      </x:c>
      <x:c r="C31" s="3" t="n">
        <x:v>0</x:v>
      </x:c>
      <x:c r="D31" s="3" t="n">
        <x:v>0</x:v>
      </x:c>
      <x:c r="E31" s="3" t="n">
        <x:v>1</x:v>
      </x:c>
      <x:c r="F31" s="3" t="n">
        <x:v>1</x:v>
      </x:c>
      <x:c r="G31" s="25" t="str">
        <x:f>IF(AND('String Schedule'!$B$28="INPUTS RECORDED",AND(ISNUMBER('Stock Inputs'!$C$12),'Stock Inputs'!$C$12&gt;0,ISNUMBER('Stock Inputs'!$C$13),'Stock Inputs'!$C$13&gt;0),'Stock Inputs'!$C$29="YES",'Stock Inputs'!$C$30="YES"),B31*'String Schedule'!$M$6+C31*'String Schedule'!$M$7+D31*'String Schedule'!$M$8+E31*'String Schedule'!$M$9+F31*'String Schedule'!$M$10,"")</x:f>
      </x:c>
      <x:c r="H31" s="25" t="str">
        <x:f>IF(AND('String Schedule'!$B$28="INPUTS RECORDED",AND(ISNUMBER('Stock Inputs'!$C$12),'Stock Inputs'!$C$12&gt;0,ISNUMBER('Stock Inputs'!$C$13),'Stock Inputs'!$C$13&gt;0),'Stock Inputs'!$C$29="YES",'Stock Inputs'!$C$30="YES"),B31*'String Schedule'!$M$6*('Stock Inputs'!$C$13/2+'String Schedule'!$J$6)+C31*'String Schedule'!$M$7*('Stock Inputs'!$C$13/2+'String Schedule'!$J$7)+D31*'String Schedule'!$M$8*('Stock Inputs'!$C$13/2+'String Schedule'!$J$8)+E31*'String Schedule'!$M$9*('Stock Inputs'!$C$13/2+'String Schedule'!$J$9)+F31*'String Schedule'!$M$10*('Stock Inputs'!$C$13/2+'String Schedule'!$J$10),"")</x:f>
      </x:c>
      <x:c r="I31" s="25" t="str">
        <x:f>IF(AND('String Schedule'!$B$28="INPUTS RECORDED",AND(ISNUMBER('Stock Inputs'!$C$12),'Stock Inputs'!$C$12&gt;0,ISNUMBER('Stock Inputs'!$C$13),'Stock Inputs'!$C$13&gt;0),'Stock Inputs'!$C$29="YES",'Stock Inputs'!$C$30="YES"),-(B31*'String Schedule'!$M$6*'String Schedule'!$I$6+C31*'String Schedule'!$M$7*'String Schedule'!$I$7+D31*'String Schedule'!$M$8*'String Schedule'!$I$8+E31*'String Schedule'!$M$9*'String Schedule'!$I$9+F31*'String Schedule'!$M$10*'String Schedule'!$I$10),"")</x:f>
      </x:c>
    </x:row>
    <x:row r="32" ht="28" customHeight="1">
      <x:c r="A32" s="9" t="str">
        <x:v>LC-26</x:v>
      </x:c>
      <x:c r="B32" s="9" t="n">
        <x:v>0</x:v>
      </x:c>
      <x:c r="C32" s="9" t="n">
        <x:v>1</x:v>
      </x:c>
      <x:c r="D32" s="9" t="n">
        <x:v>0</x:v>
      </x:c>
      <x:c r="E32" s="9" t="n">
        <x:v>1</x:v>
      </x:c>
      <x:c r="F32" s="9" t="n">
        <x:v>1</x:v>
      </x:c>
      <x:c r="G32" s="24" t="str">
        <x:f>IF(AND('String Schedule'!$B$28="INPUTS RECORDED",AND(ISNUMBER('Stock Inputs'!$C$12),'Stock Inputs'!$C$12&gt;0,ISNUMBER('Stock Inputs'!$C$13),'Stock Inputs'!$C$13&gt;0),'Stock Inputs'!$C$29="YES",'Stock Inputs'!$C$30="YES"),B32*'String Schedule'!$M$6+C32*'String Schedule'!$M$7+D32*'String Schedule'!$M$8+E32*'String Schedule'!$M$9+F32*'String Schedule'!$M$10,"")</x:f>
      </x:c>
      <x:c r="H32" s="24" t="str">
        <x:f>IF(AND('String Schedule'!$B$28="INPUTS RECORDED",AND(ISNUMBER('Stock Inputs'!$C$12),'Stock Inputs'!$C$12&gt;0,ISNUMBER('Stock Inputs'!$C$13),'Stock Inputs'!$C$13&gt;0),'Stock Inputs'!$C$29="YES",'Stock Inputs'!$C$30="YES"),B32*'String Schedule'!$M$6*('Stock Inputs'!$C$13/2+'String Schedule'!$J$6)+C32*'String Schedule'!$M$7*('Stock Inputs'!$C$13/2+'String Schedule'!$J$7)+D32*'String Schedule'!$M$8*('Stock Inputs'!$C$13/2+'String Schedule'!$J$8)+E32*'String Schedule'!$M$9*('Stock Inputs'!$C$13/2+'String Schedule'!$J$9)+F32*'String Schedule'!$M$10*('Stock Inputs'!$C$13/2+'String Schedule'!$J$10),"")</x:f>
      </x:c>
      <x:c r="I32" s="24" t="str">
        <x:f>IF(AND('String Schedule'!$B$28="INPUTS RECORDED",AND(ISNUMBER('Stock Inputs'!$C$12),'Stock Inputs'!$C$12&gt;0,ISNUMBER('Stock Inputs'!$C$13),'Stock Inputs'!$C$13&gt;0),'Stock Inputs'!$C$29="YES",'Stock Inputs'!$C$30="YES"),-(B32*'String Schedule'!$M$6*'String Schedule'!$I$6+C32*'String Schedule'!$M$7*'String Schedule'!$I$7+D32*'String Schedule'!$M$8*'String Schedule'!$I$8+E32*'String Schedule'!$M$9*'String Schedule'!$I$9+F32*'String Schedule'!$M$10*'String Schedule'!$I$10),"")</x:f>
      </x:c>
    </x:row>
    <x:row r="33" ht="28" customHeight="1">
      <x:c r="A33" s="3" t="str">
        <x:v>LC-27</x:v>
      </x:c>
      <x:c r="B33" s="3" t="n">
        <x:v>1</x:v>
      </x:c>
      <x:c r="C33" s="3" t="n">
        <x:v>1</x:v>
      </x:c>
      <x:c r="D33" s="3" t="n">
        <x:v>0</x:v>
      </x:c>
      <x:c r="E33" s="3" t="n">
        <x:v>1</x:v>
      </x:c>
      <x:c r="F33" s="3" t="n">
        <x:v>1</x:v>
      </x:c>
      <x:c r="G33" s="25" t="str">
        <x:f>IF(AND('String Schedule'!$B$28="INPUTS RECORDED",AND(ISNUMBER('Stock Inputs'!$C$12),'Stock Inputs'!$C$12&gt;0,ISNUMBER('Stock Inputs'!$C$13),'Stock Inputs'!$C$13&gt;0),'Stock Inputs'!$C$29="YES",'Stock Inputs'!$C$30="YES"),B33*'String Schedule'!$M$6+C33*'String Schedule'!$M$7+D33*'String Schedule'!$M$8+E33*'String Schedule'!$M$9+F33*'String Schedule'!$M$10,"")</x:f>
      </x:c>
      <x:c r="H33" s="25" t="str">
        <x:f>IF(AND('String Schedule'!$B$28="INPUTS RECORDED",AND(ISNUMBER('Stock Inputs'!$C$12),'Stock Inputs'!$C$12&gt;0,ISNUMBER('Stock Inputs'!$C$13),'Stock Inputs'!$C$13&gt;0),'Stock Inputs'!$C$29="YES",'Stock Inputs'!$C$30="YES"),B33*'String Schedule'!$M$6*('Stock Inputs'!$C$13/2+'String Schedule'!$J$6)+C33*'String Schedule'!$M$7*('Stock Inputs'!$C$13/2+'String Schedule'!$J$7)+D33*'String Schedule'!$M$8*('Stock Inputs'!$C$13/2+'String Schedule'!$J$8)+E33*'String Schedule'!$M$9*('Stock Inputs'!$C$13/2+'String Schedule'!$J$9)+F33*'String Schedule'!$M$10*('Stock Inputs'!$C$13/2+'String Schedule'!$J$10),"")</x:f>
      </x:c>
      <x:c r="I33" s="25" t="str">
        <x:f>IF(AND('String Schedule'!$B$28="INPUTS RECORDED",AND(ISNUMBER('Stock Inputs'!$C$12),'Stock Inputs'!$C$12&gt;0,ISNUMBER('Stock Inputs'!$C$13),'Stock Inputs'!$C$13&gt;0),'Stock Inputs'!$C$29="YES",'Stock Inputs'!$C$30="YES"),-(B33*'String Schedule'!$M$6*'String Schedule'!$I$6+C33*'String Schedule'!$M$7*'String Schedule'!$I$7+D33*'String Schedule'!$M$8*'String Schedule'!$I$8+E33*'String Schedule'!$M$9*'String Schedule'!$I$9+F33*'String Schedule'!$M$10*'String Schedule'!$I$10),"")</x:f>
      </x:c>
    </x:row>
    <x:row r="34" ht="28" customHeight="1">
      <x:c r="A34" s="9" t="str">
        <x:v>LC-28</x:v>
      </x:c>
      <x:c r="B34" s="9" t="n">
        <x:v>0</x:v>
      </x:c>
      <x:c r="C34" s="9" t="n">
        <x:v>0</x:v>
      </x:c>
      <x:c r="D34" s="9" t="n">
        <x:v>1</x:v>
      </x:c>
      <x:c r="E34" s="9" t="n">
        <x:v>1</x:v>
      </x:c>
      <x:c r="F34" s="9" t="n">
        <x:v>1</x:v>
      </x:c>
      <x:c r="G34" s="24" t="str">
        <x:f>IF(AND('String Schedule'!$B$28="INPUTS RECORDED",AND(ISNUMBER('Stock Inputs'!$C$12),'Stock Inputs'!$C$12&gt;0,ISNUMBER('Stock Inputs'!$C$13),'Stock Inputs'!$C$13&gt;0),'Stock Inputs'!$C$29="YES",'Stock Inputs'!$C$30="YES"),B34*'String Schedule'!$M$6+C34*'String Schedule'!$M$7+D34*'String Schedule'!$M$8+E34*'String Schedule'!$M$9+F34*'String Schedule'!$M$10,"")</x:f>
      </x:c>
      <x:c r="H34" s="24" t="str">
        <x:f>IF(AND('String Schedule'!$B$28="INPUTS RECORDED",AND(ISNUMBER('Stock Inputs'!$C$12),'Stock Inputs'!$C$12&gt;0,ISNUMBER('Stock Inputs'!$C$13),'Stock Inputs'!$C$13&gt;0),'Stock Inputs'!$C$29="YES",'Stock Inputs'!$C$30="YES"),B34*'String Schedule'!$M$6*('Stock Inputs'!$C$13/2+'String Schedule'!$J$6)+C34*'String Schedule'!$M$7*('Stock Inputs'!$C$13/2+'String Schedule'!$J$7)+D34*'String Schedule'!$M$8*('Stock Inputs'!$C$13/2+'String Schedule'!$J$8)+E34*'String Schedule'!$M$9*('Stock Inputs'!$C$13/2+'String Schedule'!$J$9)+F34*'String Schedule'!$M$10*('Stock Inputs'!$C$13/2+'String Schedule'!$J$10),"")</x:f>
      </x:c>
      <x:c r="I34" s="24" t="str">
        <x:f>IF(AND('String Schedule'!$B$28="INPUTS RECORDED",AND(ISNUMBER('Stock Inputs'!$C$12),'Stock Inputs'!$C$12&gt;0,ISNUMBER('Stock Inputs'!$C$13),'Stock Inputs'!$C$13&gt;0),'Stock Inputs'!$C$29="YES",'Stock Inputs'!$C$30="YES"),-(B34*'String Schedule'!$M$6*'String Schedule'!$I$6+C34*'String Schedule'!$M$7*'String Schedule'!$I$7+D34*'String Schedule'!$M$8*'String Schedule'!$I$8+E34*'String Schedule'!$M$9*'String Schedule'!$I$9+F34*'String Schedule'!$M$10*'String Schedule'!$I$10),"")</x:f>
      </x:c>
    </x:row>
    <x:row r="35" ht="28" customHeight="1">
      <x:c r="A35" s="3" t="str">
        <x:v>LC-29</x:v>
      </x:c>
      <x:c r="B35" s="3" t="n">
        <x:v>1</x:v>
      </x:c>
      <x:c r="C35" s="3" t="n">
        <x:v>0</x:v>
      </x:c>
      <x:c r="D35" s="3" t="n">
        <x:v>1</x:v>
      </x:c>
      <x:c r="E35" s="3" t="n">
        <x:v>1</x:v>
      </x:c>
      <x:c r="F35" s="3" t="n">
        <x:v>1</x:v>
      </x:c>
      <x:c r="G35" s="25" t="str">
        <x:f>IF(AND('String Schedule'!$B$28="INPUTS RECORDED",AND(ISNUMBER('Stock Inputs'!$C$12),'Stock Inputs'!$C$12&gt;0,ISNUMBER('Stock Inputs'!$C$13),'Stock Inputs'!$C$13&gt;0),'Stock Inputs'!$C$29="YES",'Stock Inputs'!$C$30="YES"),B35*'String Schedule'!$M$6+C35*'String Schedule'!$M$7+D35*'String Schedule'!$M$8+E35*'String Schedule'!$M$9+F35*'String Schedule'!$M$10,"")</x:f>
      </x:c>
      <x:c r="H35" s="25" t="str">
        <x:f>IF(AND('String Schedule'!$B$28="INPUTS RECORDED",AND(ISNUMBER('Stock Inputs'!$C$12),'Stock Inputs'!$C$12&gt;0,ISNUMBER('Stock Inputs'!$C$13),'Stock Inputs'!$C$13&gt;0),'Stock Inputs'!$C$29="YES",'Stock Inputs'!$C$30="YES"),B35*'String Schedule'!$M$6*('Stock Inputs'!$C$13/2+'String Schedule'!$J$6)+C35*'String Schedule'!$M$7*('Stock Inputs'!$C$13/2+'String Schedule'!$J$7)+D35*'String Schedule'!$M$8*('Stock Inputs'!$C$13/2+'String Schedule'!$J$8)+E35*'String Schedule'!$M$9*('Stock Inputs'!$C$13/2+'String Schedule'!$J$9)+F35*'String Schedule'!$M$10*('Stock Inputs'!$C$13/2+'String Schedule'!$J$10),"")</x:f>
      </x:c>
      <x:c r="I35" s="25" t="str">
        <x:f>IF(AND('String Schedule'!$B$28="INPUTS RECORDED",AND(ISNUMBER('Stock Inputs'!$C$12),'Stock Inputs'!$C$12&gt;0,ISNUMBER('Stock Inputs'!$C$13),'Stock Inputs'!$C$13&gt;0),'Stock Inputs'!$C$29="YES",'Stock Inputs'!$C$30="YES"),-(B35*'String Schedule'!$M$6*'String Schedule'!$I$6+C35*'String Schedule'!$M$7*'String Schedule'!$I$7+D35*'String Schedule'!$M$8*'String Schedule'!$I$8+E35*'String Schedule'!$M$9*'String Schedule'!$I$9+F35*'String Schedule'!$M$10*'String Schedule'!$I$10),"")</x:f>
      </x:c>
    </x:row>
    <x:row r="36" ht="28" customHeight="1">
      <x:c r="A36" s="9" t="str">
        <x:v>LC-30</x:v>
      </x:c>
      <x:c r="B36" s="9" t="n">
        <x:v>0</x:v>
      </x:c>
      <x:c r="C36" s="9" t="n">
        <x:v>1</x:v>
      </x:c>
      <x:c r="D36" s="9" t="n">
        <x:v>1</x:v>
      </x:c>
      <x:c r="E36" s="9" t="n">
        <x:v>1</x:v>
      </x:c>
      <x:c r="F36" s="9" t="n">
        <x:v>1</x:v>
      </x:c>
      <x:c r="G36" s="24" t="str">
        <x:f>IF(AND('String Schedule'!$B$28="INPUTS RECORDED",AND(ISNUMBER('Stock Inputs'!$C$12),'Stock Inputs'!$C$12&gt;0,ISNUMBER('Stock Inputs'!$C$13),'Stock Inputs'!$C$13&gt;0),'Stock Inputs'!$C$29="YES",'Stock Inputs'!$C$30="YES"),B36*'String Schedule'!$M$6+C36*'String Schedule'!$M$7+D36*'String Schedule'!$M$8+E36*'String Schedule'!$M$9+F36*'String Schedule'!$M$10,"")</x:f>
      </x:c>
      <x:c r="H36" s="24" t="str">
        <x:f>IF(AND('String Schedule'!$B$28="INPUTS RECORDED",AND(ISNUMBER('Stock Inputs'!$C$12),'Stock Inputs'!$C$12&gt;0,ISNUMBER('Stock Inputs'!$C$13),'Stock Inputs'!$C$13&gt;0),'Stock Inputs'!$C$29="YES",'Stock Inputs'!$C$30="YES"),B36*'String Schedule'!$M$6*('Stock Inputs'!$C$13/2+'String Schedule'!$J$6)+C36*'String Schedule'!$M$7*('Stock Inputs'!$C$13/2+'String Schedule'!$J$7)+D36*'String Schedule'!$M$8*('Stock Inputs'!$C$13/2+'String Schedule'!$J$8)+E36*'String Schedule'!$M$9*('Stock Inputs'!$C$13/2+'String Schedule'!$J$9)+F36*'String Schedule'!$M$10*('Stock Inputs'!$C$13/2+'String Schedule'!$J$10),"")</x:f>
      </x:c>
      <x:c r="I36" s="24" t="str">
        <x:f>IF(AND('String Schedule'!$B$28="INPUTS RECORDED",AND(ISNUMBER('Stock Inputs'!$C$12),'Stock Inputs'!$C$12&gt;0,ISNUMBER('Stock Inputs'!$C$13),'Stock Inputs'!$C$13&gt;0),'Stock Inputs'!$C$29="YES",'Stock Inputs'!$C$30="YES"),-(B36*'String Schedule'!$M$6*'String Schedule'!$I$6+C36*'String Schedule'!$M$7*'String Schedule'!$I$7+D36*'String Schedule'!$M$8*'String Schedule'!$I$8+E36*'String Schedule'!$M$9*'String Schedule'!$I$9+F36*'String Schedule'!$M$10*'String Schedule'!$I$10),"")</x:f>
      </x:c>
    </x:row>
    <x:row r="37" ht="28" customHeight="1">
      <x:c r="A37" s="3" t="str">
        <x:v>LC-31</x:v>
      </x:c>
      <x:c r="B37" s="3" t="n">
        <x:v>1</x:v>
      </x:c>
      <x:c r="C37" s="3" t="n">
        <x:v>1</x:v>
      </x:c>
      <x:c r="D37" s="3" t="n">
        <x:v>1</x:v>
      </x:c>
      <x:c r="E37" s="3" t="n">
        <x:v>1</x:v>
      </x:c>
      <x:c r="F37" s="3" t="n">
        <x:v>1</x:v>
      </x:c>
      <x:c r="G37" s="25" t="str">
        <x:f>IF(AND('String Schedule'!$B$28="INPUTS RECORDED",AND(ISNUMBER('Stock Inputs'!$C$12),'Stock Inputs'!$C$12&gt;0,ISNUMBER('Stock Inputs'!$C$13),'Stock Inputs'!$C$13&gt;0),'Stock Inputs'!$C$29="YES",'Stock Inputs'!$C$30="YES"),B37*'String Schedule'!$M$6+C37*'String Schedule'!$M$7+D37*'String Schedule'!$M$8+E37*'String Schedule'!$M$9+F37*'String Schedule'!$M$10,"")</x:f>
      </x:c>
      <x:c r="H37" s="25" t="str">
        <x:f>IF(AND('String Schedule'!$B$28="INPUTS RECORDED",AND(ISNUMBER('Stock Inputs'!$C$12),'Stock Inputs'!$C$12&gt;0,ISNUMBER('Stock Inputs'!$C$13),'Stock Inputs'!$C$13&gt;0),'Stock Inputs'!$C$29="YES",'Stock Inputs'!$C$30="YES"),B37*'String Schedule'!$M$6*('Stock Inputs'!$C$13/2+'String Schedule'!$J$6)+C37*'String Schedule'!$M$7*('Stock Inputs'!$C$13/2+'String Schedule'!$J$7)+D37*'String Schedule'!$M$8*('Stock Inputs'!$C$13/2+'String Schedule'!$J$8)+E37*'String Schedule'!$M$9*('Stock Inputs'!$C$13/2+'String Schedule'!$J$9)+F37*'String Schedule'!$M$10*('Stock Inputs'!$C$13/2+'String Schedule'!$J$10),"")</x:f>
      </x:c>
      <x:c r="I37" s="25" t="str">
        <x:f>IF(AND('String Schedule'!$B$28="INPUTS RECORDED",AND(ISNUMBER('Stock Inputs'!$C$12),'Stock Inputs'!$C$12&gt;0,ISNUMBER('Stock Inputs'!$C$13),'Stock Inputs'!$C$13&gt;0),'Stock Inputs'!$C$29="YES",'Stock Inputs'!$C$30="YES"),-(B37*'String Schedule'!$M$6*'String Schedule'!$I$6+C37*'String Schedule'!$M$7*'String Schedule'!$I$7+D37*'String Schedule'!$M$8*'String Schedule'!$I$8+E37*'String Schedule'!$M$9*'String Schedule'!$I$9+F37*'String Schedule'!$M$10*'String Schedule'!$I$10),"")</x:f>
      </x:c>
    </x:row>
    <x:row r="38" ht="28" customHeight="1">
      <x:c r="A38" s="9"/>
      <x:c r="B38" s="9"/>
      <x:c r="C38" s="9"/>
      <x:c r="D38" s="9"/>
      <x:c r="E38" s="9"/>
      <x:c r="F38" s="9"/>
      <x:c r="G38" s="24"/>
      <x:c r="H38" s="24"/>
      <x:c r="I38" s="24"/>
    </x:row>
    <x:row r="39" ht="30" customHeight="1">
      <x:c r="A39" s="8" t="str">
        <x:v>Component envelope (may involve different governing cases)</x:v>
      </x:c>
      <x:c r="B39" s="8" t="str">
        <x:v>Component envelope (may involve different governing cases)</x:v>
      </x:c>
      <x:c r="C39" s="8" t="str">
        <x:v>Component envelope (may involve different governing cases)</x:v>
      </x:c>
      <x:c r="D39" s="8" t="str">
        <x:v>Component envelope (may involve different governing cases)</x:v>
      </x:c>
      <x:c r="E39" s="8" t="str">
        <x:v>Component envelope (may involve different governing cases)</x:v>
      </x:c>
      <x:c r="F39" s="8" t="str">
        <x:v>Component envelope (may involve different governing cases)</x:v>
      </x:c>
      <x:c r="G39" s="30" t="str">
        <x:v>Component envelope (may involve different governing cases)</x:v>
      </x:c>
      <x:c r="H39" s="30" t="str">
        <x:v>Component envelope (may involve different governing cases)</x:v>
      </x:c>
      <x:c r="I39" s="30" t="str">
        <x:v>Component envelope (may involve different governing cases)</x:v>
      </x:c>
    </x:row>
    <x:row r="40" ht="28" customHeight="1">
      <x:c r="A40" s="9" t="str">
        <x:v>P max (lbf)</x:v>
      </x:c>
      <x:c r="B40" s="9"/>
      <x:c r="C40" s="9"/>
      <x:c r="D40" s="9"/>
      <x:c r="E40" s="9"/>
      <x:c r="F40" s="9"/>
      <x:c r="G40" s="24" t="str">
        <x:f>IF(COUNT(G6:G37)=32,MAX(G6:G37),"")</x:f>
      </x:c>
      <x:c r="H40" s="24"/>
      <x:c r="I40" s="24"/>
    </x:row>
    <x:row r="41" ht="28" customHeight="1">
      <x:c r="A41" s="3" t="str">
        <x:v>|Mx| max</x:v>
      </x:c>
      <x:c r="B41" s="3"/>
      <x:c r="C41" s="3"/>
      <x:c r="D41" s="3"/>
      <x:c r="E41" s="3"/>
      <x:c r="F41" s="3"/>
      <x:c r="G41" s="25"/>
      <x:c r="H41" s="25" t="str">
        <x:f>IF(COUNT(H6:H37)=32,MAX(MAX(H6:H37),-MIN(H6:H37)),"")</x:f>
      </x:c>
      <x:c r="I41" s="25"/>
    </x:row>
    <x:row r="42" ht="28" customHeight="1">
      <x:c r="A42" s="9" t="str">
        <x:v>|My| max</x:v>
      </x:c>
      <x:c r="B42" s="9"/>
      <x:c r="C42" s="9"/>
      <x:c r="D42" s="9"/>
      <x:c r="E42" s="9"/>
      <x:c r="F42" s="9"/>
      <x:c r="G42" s="24"/>
      <x:c r="H42" s="24"/>
      <x:c r="I42" s="24" t="str">
        <x:f>IF(COUNT(I6:I37)=32,MAX(MAX(I6:I37),-MIN(I6:I37)),"")</x:f>
      </x:c>
    </x:row>
    <x:row r="43" ht="28" customHeight="1">
      <x:c r="A43" s="3"/>
      <x:c r="B43" s="3"/>
      <x:c r="C43" s="3"/>
      <x:c r="D43" s="3"/>
      <x:c r="E43" s="3"/>
      <x:c r="F43" s="3"/>
      <x:c r="G43" s="25"/>
      <x:c r="H43" s="25"/>
      <x:c r="I43" s="25"/>
    </x:row>
    <x:row r="44" ht="28" customHeight="1">
      <x:c r="A44" s="9" t="str">
        <x:v>Mx = sum(T_i y_i); My = -sum(T_i x_i), with y_i = d/2+c_i. These are a consistent demand sign convention for axial compression; reverse end-force signs for the opposite anchor free body. Global frame load P is not divided by two between anchors.</x:v>
      </x:c>
      <x:c r="B44" s="9" t="str">
        <x:v>Mx = sum(T_i y_i); My = -sum(T_i x_i), with y_i = d/2+c_i. These are a consistent demand sign convention for axial compression; reverse end-force signs for the opposite anchor free body. Global frame load P is not divided by two between anchors.</x:v>
      </x:c>
      <x:c r="C44" s="9" t="str">
        <x:v>Mx = sum(T_i y_i); My = -sum(T_i x_i), with y_i = d/2+c_i. These are a consistent demand sign convention for axial compression; reverse end-force signs for the opposite anchor free body. Global frame load P is not divided by two between anchors.</x:v>
      </x:c>
      <x:c r="D44" s="9" t="str">
        <x:v>Mx = sum(T_i y_i); My = -sum(T_i x_i), with y_i = d/2+c_i. These are a consistent demand sign convention for axial compression; reverse end-force signs for the opposite anchor free body. Global frame load P is not divided by two between anchors.</x:v>
      </x:c>
      <x:c r="E44" s="9" t="str">
        <x:v>Mx = sum(T_i y_i); My = -sum(T_i x_i), with y_i = d/2+c_i. These are a consistent demand sign convention for axial compression; reverse end-force signs for the opposite anchor free body. Global frame load P is not divided by two between anchors.</x:v>
      </x:c>
      <x:c r="F44" s="9" t="str">
        <x:v>Mx = sum(T_i y_i); My = -sum(T_i x_i), with y_i = d/2+c_i. These are a consistent demand sign convention for axial compression; reverse end-force signs for the opposite anchor free body. Global frame load P is not divided by two between anchors.</x:v>
      </x:c>
      <x:c r="G44" s="24" t="str">
        <x:v>Mx = sum(T_i y_i); My = -sum(T_i x_i), with y_i = d/2+c_i. These are a consistent demand sign convention for axial compression; reverse end-force signs for the opposite anchor free body. Global frame load P is not divided by two between anchors.</x:v>
      </x:c>
      <x:c r="H44" s="24" t="str">
        <x:v>Mx = sum(T_i y_i); My = -sum(T_i x_i), with y_i = d/2+c_i. These are a consistent demand sign convention for axial compression; reverse end-force signs for the opposite anchor free body. Global frame load P is not divided by two between anchors.</x:v>
      </x:c>
      <x:c r="I44" s="24" t="str">
        <x:v>Mx = sum(T_i y_i); My = -sum(T_i x_i), with y_i = d/2+c_i. These are a consistent demand sign convention for axial compression; reverse end-force signs for the opposite anchor free body. Global frame load P is not divided by two between anchors.</x:v>
      </x:c>
    </x:row>
    <x:row r="45" ht="28" customHeight="1">
      <x:c r="A45" s="3" t="str">
        <x:v>Mx = sum(T_i y_i); My = -sum(T_i x_i), with y_i = d/2+c_i. These are a consistent demand sign convention for axial compression; reverse end-force signs for the opposite anchor free body. Global frame load P is not divided by two between anchors.</x:v>
      </x:c>
      <x:c r="B45" s="3" t="str">
        <x:v>Mx = sum(T_i y_i); My = -sum(T_i x_i), with y_i = d/2+c_i. These are a consistent demand sign convention for axial compression; reverse end-force signs for the opposite anchor free body. Global frame load P is not divided by two between anchors.</x:v>
      </x:c>
      <x:c r="C45" s="3" t="str">
        <x:v>Mx = sum(T_i y_i); My = -sum(T_i x_i), with y_i = d/2+c_i. These are a consistent demand sign convention for axial compression; reverse end-force signs for the opposite anchor free body. Global frame load P is not divided by two between anchors.</x:v>
      </x:c>
      <x:c r="D45" s="3" t="str">
        <x:v>Mx = sum(T_i y_i); My = -sum(T_i x_i), with y_i = d/2+c_i. These are a consistent demand sign convention for axial compression; reverse end-force signs for the opposite anchor free body. Global frame load P is not divided by two between anchors.</x:v>
      </x:c>
      <x:c r="E45" s="3" t="str">
        <x:v>Mx = sum(T_i y_i); My = -sum(T_i x_i), with y_i = d/2+c_i. These are a consistent demand sign convention for axial compression; reverse end-force signs for the opposite anchor free body. Global frame load P is not divided by two between anchors.</x:v>
      </x:c>
      <x:c r="F45" s="3" t="str">
        <x:v>Mx = sum(T_i y_i); My = -sum(T_i x_i), with y_i = d/2+c_i. These are a consistent demand sign convention for axial compression; reverse end-force signs for the opposite anchor free body. Global frame load P is not divided by two between anchors.</x:v>
      </x:c>
      <x:c r="G45" s="3" t="str">
        <x:v>Mx = sum(T_i y_i); My = -sum(T_i x_i), with y_i = d/2+c_i. These are a consistent demand sign convention for axial compression; reverse end-force signs for the opposite anchor free body. Global frame load P is not divided by two between anchors.</x:v>
      </x:c>
      <x:c r="H45" s="3" t="str">
        <x:v>Mx = sum(T_i y_i); My = -sum(T_i x_i), with y_i = d/2+c_i. These are a consistent demand sign convention for axial compression; reverse end-force signs for the opposite anchor free body. Global frame load P is not divided by two between anchors.</x:v>
      </x:c>
      <x:c r="I45" s="3" t="str">
        <x:v>Mx = sum(T_i y_i); My = -sum(T_i x_i), with y_i = d/2+c_i. These are a consistent demand sign convention for axial compression; reverse end-force signs for the opposite anchor free body. Global frame load P is not divided by two between anchors.</x:v>
      </x:c>
    </x:row>
    <x:row r="46" ht="28" customHeight="1">
      <x:c r="A46" s="9"/>
      <x:c r="B46" s="9"/>
      <x:c r="C46" s="9"/>
      <x:c r="D46" s="9"/>
      <x:c r="E46" s="9"/>
      <x:c r="F46" s="9"/>
      <x:c r="G46" s="9"/>
      <x:c r="H46" s="9"/>
      <x:c r="I46" s="9"/>
    </x:row>
    <x:row r="47" ht="28" customHeight="1">
      <x:c r="A47" s="3" t="str">
        <x:v>Component maxima alone are not a combined-load interaction check. Review the actual case rows or a justified conservative simultaneous envelope. Cases outside parallel static string forces require attached calculations and remain OPEN.</x:v>
      </x:c>
      <x:c r="B47" s="3" t="str">
        <x:v>Component maxima alone are not a combined-load interaction check. Review the actual case rows or a justified conservative simultaneous envelope. Cases outside parallel static string forces require attached calculations and remain OPEN.</x:v>
      </x:c>
      <x:c r="C47" s="3" t="str">
        <x:v>Component maxima alone are not a combined-load interaction check. Review the actual case rows or a justified conservative simultaneous envelope. Cases outside parallel static string forces require attached calculations and remain OPEN.</x:v>
      </x:c>
      <x:c r="D47" s="3" t="str">
        <x:v>Component maxima alone are not a combined-load interaction check. Review the actual case rows or a justified conservative simultaneous envelope. Cases outside parallel static string forces require attached calculations and remain OPEN.</x:v>
      </x:c>
      <x:c r="E47" s="3" t="str">
        <x:v>Component maxima alone are not a combined-load interaction check. Review the actual case rows or a justified conservative simultaneous envelope. Cases outside parallel static string forces require attached calculations and remain OPEN.</x:v>
      </x:c>
      <x:c r="F47" s="3" t="str">
        <x:v>Component maxima alone are not a combined-load interaction check. Review the actual case rows or a justified conservative simultaneous envelope. Cases outside parallel static string forces require attached calculations and remain OPEN.</x:v>
      </x:c>
      <x:c r="G47" s="3" t="str">
        <x:v>Component maxima alone are not a combined-load interaction check. Review the actual case rows or a justified conservative simultaneous envelope. Cases outside parallel static string forces require attached calculations and remain OPEN.</x:v>
      </x:c>
      <x:c r="H47" s="3" t="str">
        <x:v>Component maxima alone are not a combined-load interaction check. Review the actual case rows or a justified conservative simultaneous envelope. Cases outside parallel static string forces require attached calculations and remain OPEN.</x:v>
      </x:c>
      <x:c r="I47" s="3" t="str">
        <x:v>Component maxima alone are not a combined-load interaction check. Review the actual case rows or a justified conservative simultaneous envelope. Cases outside parallel static string forces require attached calculations and remain OPEN.</x:v>
      </x:c>
    </x:row>
    <x:row r="48" ht="28" customHeight="1">
      <x:c r="A48" s="9" t="str">
        <x:v>Component maxima alone are not a combined-load interaction check. Review the actual case rows or a justified conservative simultaneous envelope. Cases outside parallel static string forces require attached calculations and remain OPEN.</x:v>
      </x:c>
      <x:c r="B48" s="9" t="str">
        <x:v>Component maxima alone are not a combined-load interaction check. Review the actual case rows or a justified conservative simultaneous envelope. Cases outside parallel static string forces require attached calculations and remain OPEN.</x:v>
      </x:c>
      <x:c r="C48" s="9" t="str">
        <x:v>Component maxima alone are not a combined-load interaction check. Review the actual case rows or a justified conservative simultaneous envelope. Cases outside parallel static string forces require attached calculations and remain OPEN.</x:v>
      </x:c>
      <x:c r="D48" s="9" t="str">
        <x:v>Component maxima alone are not a combined-load interaction check. Review the actual case rows or a justified conservative simultaneous envelope. Cases outside parallel static string forces require attached calculations and remain OPEN.</x:v>
      </x:c>
      <x:c r="E48" s="9" t="str">
        <x:v>Component maxima alone are not a combined-load interaction check. Review the actual case rows or a justified conservative simultaneous envelope. Cases outside parallel static string forces require attached calculations and remain OPEN.</x:v>
      </x:c>
      <x:c r="F48" s="9" t="str">
        <x:v>Component maxima alone are not a combined-load interaction check. Review the actual case rows or a justified conservative simultaneous envelope. Cases outside parallel static string forces require attached calculations and remain OPEN.</x:v>
      </x:c>
      <x:c r="G48" s="9" t="str">
        <x:v>Component maxima alone are not a combined-load interaction check. Review the actual case rows or a justified conservative simultaneous envelope. Cases outside parallel static string forces require attached calculations and remain OPEN.</x:v>
      </x:c>
      <x:c r="H48" s="9" t="str">
        <x:v>Component maxima alone are not a combined-load interaction check. Review the actual case rows or a justified conservative simultaneous envelope. Cases outside parallel static string forces require attached calculations and remain OPEN.</x:v>
      </x:c>
      <x:c r="I48" s="9" t="str">
        <x:v>Component maxima alone are not a combined-load interaction check. Review the actual case rows or a justified conservative simultaneous envelope. Cases outside parallel static string forces require attached calculations and remain OPEN.</x:v>
      </x:c>
    </x:row>
  </x:sheetData>
  <x:mergeCells>
    <x:mergeCell ref="A1:I2"/>
    <x:mergeCell ref="A3:I3"/>
    <x:mergeCell ref="A39:I39"/>
    <x:mergeCell ref="A44:I45"/>
    <x:mergeCell ref="A47:I4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22" hidden="0" customWidth="1"/>
    <x:col min="4" max="4" width="22" hidden="0" customWidth="1"/>
    <x:col min="5" max="5" width="26" hidden="0" customWidth="1"/>
    <x:col min="6" max="6" width="26" hidden="0" customWidth="1"/>
    <x:col min="7" max="7" width="24" hidden="0" customWidth="1"/>
    <x:col min="8" max="8" width="24" hidden="0" customWidth="1"/>
    <x:col min="9" max="9" width="24" hidden="0" customWidth="1"/>
    <x:col min="10" max="10" width="24" hidden="0" customWidth="1"/>
  </x:cols>
  <x:sheetData>
    <x:row r="1" ht="28" customHeight="1">
      <x:c r="A1" s="5" t="str">
        <x:v>Spine | Gross section, net sections &amp; stability screen</x:v>
      </x:c>
      <x:c r="B1" s="5" t="str">
        <x:v>Spine | Gross section, net sections &amp; stability screen</x:v>
      </x:c>
      <x:c r="C1" s="5" t="str">
        <x:v>Spine | Gross section, net sections &amp; stability screen</x:v>
      </x:c>
      <x:c r="D1" s="5" t="str">
        <x:v>Spine | Gross section, net sections &amp; stability screen</x:v>
      </x:c>
      <x:c r="E1" s="5" t="str">
        <x:v>Spine | Gross section, net sections &amp; stability screen</x:v>
      </x:c>
      <x:c r="F1" s="5" t="str">
        <x:v>Spine | Gross section, net sections &amp; stability screen</x:v>
      </x:c>
      <x:c r="G1" s="5" t="str">
        <x:v>Spine | Gross section, net sections &amp; stability screen</x:v>
      </x:c>
      <x:c r="H1" s="5" t="str">
        <x:v>Spine | Gross section, net sections &amp; stability screen</x:v>
      </x:c>
      <x:c r="I1" s="5" t="str">
        <x:v>Spine | Gross section, net sections &amp; stability screen</x:v>
      </x:c>
      <x:c r="J1" s="5" t="str">
        <x:v>Spine | Gross section, net sections &amp; stability screen</x:v>
      </x:c>
    </x:row>
    <x:row r="2" ht="28" customHeight="1">
      <x:c r="A2" s="5" t="str">
        <x:v>Spine | Gross section, net sections &amp; stability screen</x:v>
      </x:c>
      <x:c r="B2" s="5" t="str">
        <x:v>Spine | Gross section, net sections &amp; stability screen</x:v>
      </x:c>
      <x:c r="C2" s="5" t="str">
        <x:v>Spine | Gross section, net sections &amp; stability screen</x:v>
      </x:c>
      <x:c r="D2" s="5" t="str">
        <x:v>Spine | Gross section, net sections &amp; stability screen</x:v>
      </x:c>
      <x:c r="E2" s="5" t="str">
        <x:v>Spine | Gross section, net sections &amp; stability screen</x:v>
      </x:c>
      <x:c r="F2" s="5" t="str">
        <x:v>Spine | Gross section, net sections &amp; stability screen</x:v>
      </x:c>
      <x:c r="G2" s="5" t="str">
        <x:v>Spine | Gross section, net sections &amp; stability screen</x:v>
      </x:c>
      <x:c r="H2" s="5" t="str">
        <x:v>Spine | Gross section, net sections &amp; stability screen</x:v>
      </x:c>
      <x:c r="I2" s="5" t="str">
        <x:v>Spine | Gross section, net sections &amp; stability screen</x:v>
      </x:c>
      <x:c r="J2" s="5" t="str">
        <x:v>Spine | Gross section, net sections &amp; stability screen</x:v>
      </x:c>
    </x:row>
    <x:row r="3" ht="43" customHeight="1">
      <x:c r="A3" s="6" t="str">
        <x:v>Calculated demand only. Adjusted allowables, member interaction, shear, creep, deflection and local joint effects require Review Limits records.</x:v>
      </x:c>
      <x:c r="B3" s="6" t="str">
        <x:v>Calculated demand only. Adjusted allowables, member interaction, shear, creep, deflection and local joint effects require Review Limits records.</x:v>
      </x:c>
      <x:c r="C3" s="6" t="str">
        <x:v>Calculated demand only. Adjusted allowables, member interaction, shear, creep, deflection and local joint effects require Review Limits records.</x:v>
      </x:c>
      <x:c r="D3" s="6" t="str">
        <x:v>Calculated demand only. Adjusted allowables, member interaction, shear, creep, deflection and local joint effects require Review Limits records.</x:v>
      </x:c>
      <x:c r="E3" s="6" t="str">
        <x:v>Calculated demand only. Adjusted allowables, member interaction, shear, creep, deflection and local joint effects require Review Limits records.</x:v>
      </x:c>
      <x:c r="F3" s="6" t="str">
        <x:v>Calculated demand only. Adjusted allowables, member interaction, shear, creep, deflection and local joint effects require Review Limits records.</x:v>
      </x:c>
      <x:c r="G3" s="6" t="str">
        <x:v>Calculated demand only. Adjusted allowables, member interaction, shear, creep, deflection and local joint effects require Review Limits records.</x:v>
      </x:c>
      <x:c r="H3" s="6" t="str">
        <x:v>Calculated demand only. Adjusted allowables, member interaction, shear, creep, deflection and local joint effects require Review Limits records.</x:v>
      </x:c>
      <x:c r="I3" s="6" t="str">
        <x:v>Calculated demand only. Adjusted allowables, member interaction, shear, creep, deflection and local joint effects require Review Limits records.</x:v>
      </x:c>
      <x:c r="J3" s="6" t="str">
        <x:v>Calculated demand only. Adjusted allowables, member interaction, shear, creep, deflection and local joint effects require Review Limits records.</x:v>
      </x:c>
    </x:row>
    <x:row r="4" ht="28" customHeight="1">
      <x:c r="A4" s="3"/>
      <x:c r="B4" s="3"/>
      <x:c r="C4" s="3"/>
      <x:c r="D4" s="3"/>
      <x:c r="E4" s="3"/>
      <x:c r="F4" s="3"/>
      <x:c r="G4" s="3"/>
      <x:c r="H4" s="3"/>
      <x:c r="I4" s="3"/>
      <x:c r="J4" s="3"/>
    </x:row>
    <x:row r="5" ht="36" customHeight="1">
      <x:c r="A5" s="8" t="str">
        <x:v>Item / case</x:v>
      </x:c>
      <x:c r="B5" s="8" t="str">
        <x:v>A or P</x:v>
      </x:c>
      <x:c r="C5" s="8" t="str">
        <x:v>Ix or Mx</x:v>
      </x:c>
      <x:c r="D5" s="8" t="str">
        <x:v>Iy or My</x:v>
      </x:c>
      <x:c r="E5" s="8" t="str">
        <x:v>Sx / gross compression</x:v>
      </x:c>
      <x:c r="F5" s="8" t="str">
        <x:v>Sy / gross tension</x:v>
      </x:c>
      <x:c r="G5" s="8" t="str">
        <x:v>Upper net compression</x:v>
      </x:c>
      <x:c r="H5" s="8" t="str">
        <x:v>Upper net tension</x:v>
      </x:c>
      <x:c r="I5" s="8" t="str">
        <x:v>Lower net compression</x:v>
      </x:c>
      <x:c r="J5" s="8" t="str">
        <x:v>Lower net tension</x:v>
      </x:c>
    </x:row>
    <x:row r="6" ht="28" customHeight="1">
      <x:c r="A6" s="9" t="str">
        <x:v>Gross section (in powers)</x:v>
      </x:c>
      <x:c r="B6" s="24" t="str">
        <x:f>IF(AND(ISNUMBER('Stock Inputs'!$C$12),'Stock Inputs'!$C$12&gt;0,ISNUMBER('Stock Inputs'!$C$13),'Stock Inputs'!$C$13&gt;0),'Stock Inputs'!$C$12*'Stock Inputs'!$C$13,"")</x:f>
      </x:c>
      <x:c r="C6" s="24" t="str">
        <x:f>IF(ISNUMBER(B6),'Stock Inputs'!$C$12*'Stock Inputs'!$C$13^3/12,"")</x:f>
      </x:c>
      <x:c r="D6" s="24" t="str">
        <x:f>IF(ISNUMBER(B6),'Stock Inputs'!$C$13*'Stock Inputs'!$C$12^3/12,"")</x:f>
      </x:c>
      <x:c r="E6" s="24" t="str">
        <x:f>IF(ISNUMBER(B6),'Stock Inputs'!$C$12*'Stock Inputs'!$C$13^2/6,"")</x:f>
      </x:c>
      <x:c r="F6" s="24" t="str">
        <x:f>IF(ISNUMBER(B6),'Stock Inputs'!$C$13*'Stock Inputs'!$C$12^2/6,"")</x:f>
      </x:c>
      <x:c r="G6" s="24"/>
      <x:c r="H6" s="24"/>
      <x:c r="I6" s="24"/>
      <x:c r="J6" s="24"/>
    </x:row>
    <x:row r="7" ht="28" customHeight="1">
      <x:c r="A7" s="3"/>
      <x:c r="B7" s="25"/>
      <x:c r="C7" s="25"/>
      <x:c r="D7" s="25"/>
      <x:c r="E7" s="25"/>
      <x:c r="F7" s="25"/>
      <x:c r="G7" s="25"/>
      <x:c r="H7" s="25"/>
      <x:c r="I7" s="25"/>
      <x:c r="J7" s="25"/>
    </x:row>
    <x:row r="8" ht="28" customHeight="1">
      <x:c r="A8" s="9" t="str">
        <x:v>Euler Pcr x/y (lbf)</x:v>
      </x:c>
      <x:c r="B8" s="24"/>
      <x:c r="C8" s="24" t="str">
        <x:f>IF(AND(ISNUMBER(C6),AND(ISNUMBER('Stock Inputs'!$C$22),'Stock Inputs'!$C$22&gt;0,ISNUMBER('Stock Inputs'!$C$17),'Stock Inputs'!$C$17&gt;0,ISNUMBER('Stock Inputs'!$C$19),'Stock Inputs'!$C$19&gt;0)),PI()^2*'Stock Inputs'!$C$22*C6/('Stock Inputs'!$C$19*'Stock Inputs'!$C$17)^2,"")</x:f>
      </x:c>
      <x:c r="D8" s="24" t="str">
        <x:f>IF(AND(ISNUMBER(D6),AND(ISNUMBER('Stock Inputs'!$C$22),'Stock Inputs'!$C$22&gt;0,ISNUMBER('Stock Inputs'!$C$18),'Stock Inputs'!$C$18&gt;0,ISNUMBER('Stock Inputs'!$C$20),'Stock Inputs'!$C$20&gt;0)),PI()^2*'Stock Inputs'!$C$22*D6/('Stock Inputs'!$C$20*'Stock Inputs'!$C$18)^2,"")</x:f>
      </x:c>
      <x:c r="E8" s="24" t="str">
        <x:v>Euler loads and amplification are diagnostics for the declared ideal model, not allowable column loads or a verified deflection model. No vessel bracing is credited. First-order stresses below do not include this amplification.</x:v>
      </x:c>
      <x:c r="F8" s="24" t="str">
        <x:v>Euler loads and amplification are diagnostics for the declared ideal model, not allowable column loads or a verified deflection model. No vessel bracing is credited. First-order stresses below do not include this amplification.</x:v>
      </x:c>
      <x:c r="G8" s="24" t="str">
        <x:v>Euler loads and amplification are diagnostics for the declared ideal model, not allowable column loads or a verified deflection model. No vessel bracing is credited. First-order stresses below do not include this amplification.</x:v>
      </x:c>
      <x:c r="H8" s="24" t="str">
        <x:v>Euler loads and amplification are diagnostics for the declared ideal model, not allowable column loads or a verified deflection model. No vessel bracing is credited. First-order stresses below do not include this amplification.</x:v>
      </x:c>
      <x:c r="I8" s="24" t="str">
        <x:v>Euler loads and amplification are diagnostics for the declared ideal model, not allowable column loads or a verified deflection model. No vessel bracing is credited. First-order stresses below do not include this amplification.</x:v>
      </x:c>
      <x:c r="J8" s="24" t="str">
        <x:v>Euler loads and amplification are diagnostics for the declared ideal model, not allowable column loads or a verified deflection model. No vessel bracing is credited. First-order stresses below do not include this amplification.</x:v>
      </x:c>
    </x:row>
    <x:row r="9" ht="28" customHeight="1">
      <x:c r="A9" s="3" t="str">
        <x:v>Pmax / Pcr</x:v>
      </x:c>
      <x:c r="B9" s="25"/>
      <x:c r="C9" s="25" t="str">
        <x:f>IF(AND(ISNUMBER('Load Cases'!G40),AND(ISNUMBER(C8),C8&gt;0)),'Load Cases'!G40/C8,"")</x:f>
      </x:c>
      <x:c r="D9" s="25" t="str">
        <x:f>IF(AND(ISNUMBER('Load Cases'!G40),AND(ISNUMBER(D8),D8&gt;0)),'Load Cases'!G40/D8,"")</x:f>
      </x:c>
      <x:c r="E9" s="25" t="str">
        <x:v>Euler loads and amplification are diagnostics for the declared ideal model, not allowable column loads or a verified deflection model. No vessel bracing is credited. First-order stresses below do not include this amplification.</x:v>
      </x:c>
      <x:c r="F9" s="25" t="str">
        <x:v>Euler loads and amplification are diagnostics for the declared ideal model, not allowable column loads or a verified deflection model. No vessel bracing is credited. First-order stresses below do not include this amplification.</x:v>
      </x:c>
      <x:c r="G9" s="25" t="str">
        <x:v>Euler loads and amplification are diagnostics for the declared ideal model, not allowable column loads or a verified deflection model. No vessel bracing is credited. First-order stresses below do not include this amplification.</x:v>
      </x:c>
      <x:c r="H9" s="25" t="str">
        <x:v>Euler loads and amplification are diagnostics for the declared ideal model, not allowable column loads or a verified deflection model. No vessel bracing is credited. First-order stresses below do not include this amplification.</x:v>
      </x:c>
      <x:c r="I9" s="25" t="str">
        <x:v>Euler loads and amplification are diagnostics for the declared ideal model, not allowable column loads or a verified deflection model. No vessel bracing is credited. First-order stresses below do not include this amplification.</x:v>
      </x:c>
      <x:c r="J9" s="25" t="str">
        <x:v>Euler loads and amplification are diagnostics for the declared ideal model, not allowable column loads or a verified deflection model. No vessel bracing is credited. First-order stresses below do not include this amplification.</x:v>
      </x:c>
    </x:row>
    <x:row r="10" ht="28" customHeight="1">
      <x:c r="A10" s="9" t="str">
        <x:v>Diagnostic 1/(1-P/Pcr)</x:v>
      </x:c>
      <x:c r="B10" s="24"/>
      <x:c r="C10" s="24" t="str">
        <x:f>IF(ISNUMBER(C9),IF(C9&lt;1,1/(1-C9),"UNSTABLE"),"")</x:f>
      </x:c>
      <x:c r="D10" s="24" t="str">
        <x:f>IF(ISNUMBER(D9),IF(D9&lt;1,1/(1-D9),"UNSTABLE"),"")</x:f>
      </x:c>
      <x:c r="E10" s="24" t="str">
        <x:v>Euler loads and amplification are diagnostics for the declared ideal model, not allowable column loads or a verified deflection model. No vessel bracing is credited. First-order stresses below do not include this amplification.</x:v>
      </x:c>
      <x:c r="F10" s="24" t="str">
        <x:v>Euler loads and amplification are diagnostics for the declared ideal model, not allowable column loads or a verified deflection model. No vessel bracing is credited. First-order stresses below do not include this amplification.</x:v>
      </x:c>
      <x:c r="G10" s="24" t="str">
        <x:v>Euler loads and amplification are diagnostics for the declared ideal model, not allowable column loads or a verified deflection model. No vessel bracing is credited. First-order stresses below do not include this amplification.</x:v>
      </x:c>
      <x:c r="H10" s="24" t="str">
        <x:v>Euler loads and amplification are diagnostics for the declared ideal model, not allowable column loads or a verified deflection model. No vessel bracing is credited. First-order stresses below do not include this amplification.</x:v>
      </x:c>
      <x:c r="I10" s="24" t="str">
        <x:v>Euler loads and amplification are diagnostics for the declared ideal model, not allowable column loads or a verified deflection model. No vessel bracing is credited. First-order stresses below do not include this amplification.</x:v>
      </x:c>
      <x:c r="J10" s="24" t="str">
        <x:v>Euler loads and amplification are diagnostics for the declared ideal model, not allowable column loads or a verified deflection model. No vessel bracing is credited. First-order stresses below do not include this amplification.</x:v>
      </x:c>
    </x:row>
    <x:row r="11" ht="28" customHeight="1">
      <x:c r="A11" s="3"/>
      <x:c r="B11" s="25"/>
      <x:c r="C11" s="25"/>
      <x:c r="D11" s="25"/>
      <x:c r="E11" s="25"/>
      <x:c r="F11" s="25"/>
      <x:c r="G11" s="25"/>
      <x:c r="H11" s="25"/>
      <x:c r="I11" s="25"/>
      <x:c r="J11" s="25"/>
    </x:row>
    <x:row r="12" ht="28" customHeight="1">
      <x:c r="A12" s="9" t="str">
        <x:v>Load-transfer separation</x:v>
      </x:c>
      <x:c r="B12" s="24" t="str">
        <x:f>IF(AND(AND(ISNUMBER('Stock Inputs'!$C$15),ISNUMBER('Stock Inputs'!$C$16)),'Stock Inputs'!$C$15&gt;'Stock Inputs'!$C$16),'Stock Inputs'!$C$15-'Stock Inputs'!$C$16,"")</x:f>
      </x:c>
      <x:c r="C12" s="24" t="str">
        <x:v>This measured separation is distinct from speaking length and from effective buckling lengths. Verify supports, bow and P-delta effects in the adopted member review.</x:v>
      </x:c>
      <x:c r="D12" s="24" t="str">
        <x:v>This measured separation is distinct from speaking length and from effective buckling lengths. Verify supports, bow and P-delta effects in the adopted member review.</x:v>
      </x:c>
      <x:c r="E12" s="24" t="str">
        <x:v>This measured separation is distinct from speaking length and from effective buckling lengths. Verify supports, bow and P-delta effects in the adopted member review.</x:v>
      </x:c>
      <x:c r="F12" s="24" t="str">
        <x:v>This measured separation is distinct from speaking length and from effective buckling lengths. Verify supports, bow and P-delta effects in the adopted member review.</x:v>
      </x:c>
      <x:c r="G12" s="24" t="str">
        <x:v>This measured separation is distinct from speaking length and from effective buckling lengths. Verify supports, bow and P-delta effects in the adopted member review.</x:v>
      </x:c>
      <x:c r="H12" s="24" t="str">
        <x:v>This measured separation is distinct from speaking length and from effective buckling lengths. Verify supports, bow and P-delta effects in the adopted member review.</x:v>
      </x:c>
      <x:c r="I12" s="24" t="str">
        <x:v>This measured separation is distinct from speaking length and from effective buckling lengths. Verify supports, bow and P-delta effects in the adopted member review.</x:v>
      </x:c>
      <x:c r="J12" s="24" t="str">
        <x:v>This measured separation is distinct from speaking length and from effective buckling lengths. Verify supports, bow and P-delta effects in the adopted member review.</x:v>
      </x:c>
    </x:row>
    <x:row r="13" ht="28" customHeight="1">
      <x:c r="A13" s="3"/>
      <x:c r="B13" s="25"/>
      <x:c r="C13" s="25" t="str">
        <x:v>This measured separation is distinct from speaking length and from effective buckling lengths. Verify supports, bow and P-delta effects in the adopted member review.</x:v>
      </x:c>
      <x:c r="D13" s="25" t="str">
        <x:v>This measured separation is distinct from speaking length and from effective buckling lengths. Verify supports, bow and P-delta effects in the adopted member review.</x:v>
      </x:c>
      <x:c r="E13" s="25" t="str">
        <x:v>This measured separation is distinct from speaking length and from effective buckling lengths. Verify supports, bow and P-delta effects in the adopted member review.</x:v>
      </x:c>
      <x:c r="F13" s="25" t="str">
        <x:v>This measured separation is distinct from speaking length and from effective buckling lengths. Verify supports, bow and P-delta effects in the adopted member review.</x:v>
      </x:c>
      <x:c r="G13" s="25" t="str">
        <x:v>This measured separation is distinct from speaking length and from effective buckling lengths. Verify supports, bow and P-delta effects in the adopted member review.</x:v>
      </x:c>
      <x:c r="H13" s="25" t="str">
        <x:v>This measured separation is distinct from speaking length and from effective buckling lengths. Verify supports, bow and P-delta effects in the adopted member review.</x:v>
      </x:c>
      <x:c r="I13" s="25" t="str">
        <x:v>This measured separation is distinct from speaking length and from effective buckling lengths. Verify supports, bow and P-delta effects in the adopted member review.</x:v>
      </x:c>
      <x:c r="J13" s="25" t="str">
        <x:v>This measured separation is distinct from speaking length and from effective buckling lengths. Verify supports, bow and P-delta effects in the adopted member review.</x:v>
      </x:c>
    </x:row>
    <x:row r="14" ht="28" customHeight="1">
      <x:c r="A14" s="9"/>
      <x:c r="B14" s="24"/>
      <x:c r="C14" s="24"/>
      <x:c r="D14" s="24"/>
      <x:c r="E14" s="24"/>
      <x:c r="F14" s="24"/>
      <x:c r="G14" s="24"/>
      <x:c r="H14" s="24"/>
      <x:c r="I14" s="24"/>
      <x:c r="J14" s="24"/>
    </x:row>
    <x:row r="15" ht="30" customHeight="1">
      <x:c r="A15" s="8" t="str">
        <x:v>Case stresses (psi): compression/tension envelopes across extreme fibers; no capacity claim</x:v>
      </x:c>
      <x:c r="B15" s="30" t="str">
        <x:v>Case stresses (psi): compression/tension envelopes across extreme fibers; no capacity claim</x:v>
      </x:c>
      <x:c r="C15" s="30" t="str">
        <x:v>Case stresses (psi): compression/tension envelopes across extreme fibers; no capacity claim</x:v>
      </x:c>
      <x:c r="D15" s="30" t="str">
        <x:v>Case stresses (psi): compression/tension envelopes across extreme fibers; no capacity claim</x:v>
      </x:c>
      <x:c r="E15" s="30" t="str">
        <x:v>Case stresses (psi): compression/tension envelopes across extreme fibers; no capacity claim</x:v>
      </x:c>
      <x:c r="F15" s="30" t="str">
        <x:v>Case stresses (psi): compression/tension envelopes across extreme fibers; no capacity claim</x:v>
      </x:c>
      <x:c r="G15" s="30" t="str">
        <x:v>Case stresses (psi): compression/tension envelopes across extreme fibers; no capacity claim</x:v>
      </x:c>
      <x:c r="H15" s="30" t="str">
        <x:v>Case stresses (psi): compression/tension envelopes across extreme fibers; no capacity claim</x:v>
      </x:c>
      <x:c r="I15" s="30" t="str">
        <x:v>Case stresses (psi): compression/tension envelopes across extreme fibers; no capacity claim</x:v>
      </x:c>
      <x:c r="J15" s="30" t="str">
        <x:v>Case stresses (psi): compression/tension envelopes across extreme fibers; no capacity claim</x:v>
      </x:c>
    </x:row>
    <x:row r="16" ht="28" customHeight="1">
      <x:c r="A16" s="9" t="str">
        <x:v>LC-00</x:v>
      </x:c>
      <x:c r="B16" s="24" t="str">
        <x:f>IF(ISNUMBER('Load Cases'!G6),'Load Cases'!G6,"")</x:f>
      </x:c>
      <x:c r="C16" s="24" t="str">
        <x:f>IF(ISNUMBER('Load Cases'!H6),'Load Cases'!H6,"")</x:f>
      </x:c>
      <x:c r="D16" s="24" t="str">
        <x:f>IF(ISNUMBER('Load Cases'!I6),'Load Cases'!I6,"")</x:f>
      </x:c>
      <x:c r="E16" s="24" t="str">
        <x:f>IF(AND(ISNUMBER(B16),AND(ISNUMBER($B$6),$B$6&gt;0,ISNUMBER($E$6),$E$6&gt;0,ISNUMBER($F$6),$F$6&gt;0)),B16/$B$6+ABS(C16)/$E$6+ABS(D16)/$F$6,"")</x:f>
      </x:c>
      <x:c r="F16" s="24" t="str">
        <x:f>IF(AND(ISNUMBER(B16),AND(ISNUMBER($B$6),$B$6&gt;0,ISNUMBER($E$6),$E$6&gt;0,ISNUMBER($F$6),$F$6&gt;0)),MAX(0,ABS(C16)/$E$6+ABS(D16)/$F$6-B16/$B$6),"")</x:f>
      </x:c>
      <x:c r="G16" s="24" t="str">
        <x:f>IF(AND(ISNUMBER(B16),AND(ISNUMBER('Stock Inputs'!$C$36),'Stock Inputs'!$C$36&gt;0,ISNUMBER('Stock Inputs'!$C$37),'Stock Inputs'!$C$37&gt;0,ISNUMBER('Stock Inputs'!$C$38),'Stock Inputs'!$C$38&gt;0),AND(ISNUMBER('Stock Inputs'!$C$39),ISNUMBER('Stock Inputs'!$C$40)),'Stock Inputs'!$C$34="YES"),B16/'Stock Inputs'!$C$36+ABS(C16-B16*'Stock Inputs'!$C$40)/'Stock Inputs'!$C$37+ABS(D16+B16*'Stock Inputs'!$C$39)/'Stock Inputs'!$C$38,"")</x:f>
      </x:c>
      <x:c r="H16" s="24" t="str">
        <x:f>IF(AND(ISNUMBER(B16),AND(ISNUMBER('Stock Inputs'!$C$36),'Stock Inputs'!$C$36&gt;0,ISNUMBER('Stock Inputs'!$C$37),'Stock Inputs'!$C$37&gt;0,ISNUMBER('Stock Inputs'!$C$38),'Stock Inputs'!$C$38&gt;0),AND(ISNUMBER('Stock Inputs'!$C$39),ISNUMBER('Stock Inputs'!$C$40)),'Stock Inputs'!$C$34="YES"),MAX(0,ABS(C16-B16*'Stock Inputs'!$C$40)/'Stock Inputs'!$C$37+ABS(D16+B16*'Stock Inputs'!$C$39)/'Stock Inputs'!$C$38-B16/'Stock Inputs'!$C$36),"")</x:f>
      </x:c>
      <x:c r="I16" s="24" t="str">
        <x:f>IF(AND(ISNUMBER(B16),AND(ISNUMBER('Stock Inputs'!$C$41),'Stock Inputs'!$C$41&gt;0,ISNUMBER('Stock Inputs'!$C$42),'Stock Inputs'!$C$42&gt;0,ISNUMBER('Stock Inputs'!$C$43),'Stock Inputs'!$C$43&gt;0),AND(ISNUMBER('Stock Inputs'!$C$44),ISNUMBER('Stock Inputs'!$C$45)),'Stock Inputs'!$C$34="YES"),B16/'Stock Inputs'!$C$41+ABS(C16-B16*'Stock Inputs'!$C$45)/'Stock Inputs'!$C$42+ABS(D16+B16*'Stock Inputs'!$C$44)/'Stock Inputs'!$C$43,"")</x:f>
      </x:c>
      <x:c r="J16" s="24" t="str">
        <x:f>IF(AND(ISNUMBER(B16),AND(ISNUMBER('Stock Inputs'!$C$41),'Stock Inputs'!$C$41&gt;0,ISNUMBER('Stock Inputs'!$C$42),'Stock Inputs'!$C$42&gt;0,ISNUMBER('Stock Inputs'!$C$43),'Stock Inputs'!$C$43&gt;0),AND(ISNUMBER('Stock Inputs'!$C$44),ISNUMBER('Stock Inputs'!$C$45)),'Stock Inputs'!$C$34="YES"),MAX(0,ABS(C16-B16*'Stock Inputs'!$C$45)/'Stock Inputs'!$C$42+ABS(D16+B16*'Stock Inputs'!$C$44)/'Stock Inputs'!$C$43-B16/'Stock Inputs'!$C$41),"")</x:f>
      </x:c>
    </x:row>
    <x:row r="17" ht="28" customHeight="1">
      <x:c r="A17" s="3" t="str">
        <x:v>LC-01</x:v>
      </x:c>
      <x:c r="B17" s="25" t="str">
        <x:f>IF(ISNUMBER('Load Cases'!G7),'Load Cases'!G7,"")</x:f>
      </x:c>
      <x:c r="C17" s="25" t="str">
        <x:f>IF(ISNUMBER('Load Cases'!H7),'Load Cases'!H7,"")</x:f>
      </x:c>
      <x:c r="D17" s="25" t="str">
        <x:f>IF(ISNUMBER('Load Cases'!I7),'Load Cases'!I7,"")</x:f>
      </x:c>
      <x:c r="E17" s="25" t="str">
        <x:f>IF(AND(ISNUMBER(B17),AND(ISNUMBER($B$6),$B$6&gt;0,ISNUMBER($E$6),$E$6&gt;0,ISNUMBER($F$6),$F$6&gt;0)),B17/$B$6+ABS(C17)/$E$6+ABS(D17)/$F$6,"")</x:f>
      </x:c>
      <x:c r="F17" s="25" t="str">
        <x:f>IF(AND(ISNUMBER(B17),AND(ISNUMBER($B$6),$B$6&gt;0,ISNUMBER($E$6),$E$6&gt;0,ISNUMBER($F$6),$F$6&gt;0)),MAX(0,ABS(C17)/$E$6+ABS(D17)/$F$6-B17/$B$6),"")</x:f>
      </x:c>
      <x:c r="G17" s="25" t="str">
        <x:f>IF(AND(ISNUMBER(B17),AND(ISNUMBER('Stock Inputs'!$C$36),'Stock Inputs'!$C$36&gt;0,ISNUMBER('Stock Inputs'!$C$37),'Stock Inputs'!$C$37&gt;0,ISNUMBER('Stock Inputs'!$C$38),'Stock Inputs'!$C$38&gt;0),AND(ISNUMBER('Stock Inputs'!$C$39),ISNUMBER('Stock Inputs'!$C$40)),'Stock Inputs'!$C$34="YES"),B17/'Stock Inputs'!$C$36+ABS(C17-B17*'Stock Inputs'!$C$40)/'Stock Inputs'!$C$37+ABS(D17+B17*'Stock Inputs'!$C$39)/'Stock Inputs'!$C$38,"")</x:f>
      </x:c>
      <x:c r="H17" s="25" t="str">
        <x:f>IF(AND(ISNUMBER(B17),AND(ISNUMBER('Stock Inputs'!$C$36),'Stock Inputs'!$C$36&gt;0,ISNUMBER('Stock Inputs'!$C$37),'Stock Inputs'!$C$37&gt;0,ISNUMBER('Stock Inputs'!$C$38),'Stock Inputs'!$C$38&gt;0),AND(ISNUMBER('Stock Inputs'!$C$39),ISNUMBER('Stock Inputs'!$C$40)),'Stock Inputs'!$C$34="YES"),MAX(0,ABS(C17-B17*'Stock Inputs'!$C$40)/'Stock Inputs'!$C$37+ABS(D17+B17*'Stock Inputs'!$C$39)/'Stock Inputs'!$C$38-B17/'Stock Inputs'!$C$36),"")</x:f>
      </x:c>
      <x:c r="I17" s="25" t="str">
        <x:f>IF(AND(ISNUMBER(B17),AND(ISNUMBER('Stock Inputs'!$C$41),'Stock Inputs'!$C$41&gt;0,ISNUMBER('Stock Inputs'!$C$42),'Stock Inputs'!$C$42&gt;0,ISNUMBER('Stock Inputs'!$C$43),'Stock Inputs'!$C$43&gt;0),AND(ISNUMBER('Stock Inputs'!$C$44),ISNUMBER('Stock Inputs'!$C$45)),'Stock Inputs'!$C$34="YES"),B17/'Stock Inputs'!$C$41+ABS(C17-B17*'Stock Inputs'!$C$45)/'Stock Inputs'!$C$42+ABS(D17+B17*'Stock Inputs'!$C$44)/'Stock Inputs'!$C$43,"")</x:f>
      </x:c>
      <x:c r="J17" s="25" t="str">
        <x:f>IF(AND(ISNUMBER(B17),AND(ISNUMBER('Stock Inputs'!$C$41),'Stock Inputs'!$C$41&gt;0,ISNUMBER('Stock Inputs'!$C$42),'Stock Inputs'!$C$42&gt;0,ISNUMBER('Stock Inputs'!$C$43),'Stock Inputs'!$C$43&gt;0),AND(ISNUMBER('Stock Inputs'!$C$44),ISNUMBER('Stock Inputs'!$C$45)),'Stock Inputs'!$C$34="YES"),MAX(0,ABS(C17-B17*'Stock Inputs'!$C$45)/'Stock Inputs'!$C$42+ABS(D17+B17*'Stock Inputs'!$C$44)/'Stock Inputs'!$C$43-B17/'Stock Inputs'!$C$41),"")</x:f>
      </x:c>
    </x:row>
    <x:row r="18" ht="28" customHeight="1">
      <x:c r="A18" s="9" t="str">
        <x:v>LC-02</x:v>
      </x:c>
      <x:c r="B18" s="24" t="str">
        <x:f>IF(ISNUMBER('Load Cases'!G8),'Load Cases'!G8,"")</x:f>
      </x:c>
      <x:c r="C18" s="24" t="str">
        <x:f>IF(ISNUMBER('Load Cases'!H8),'Load Cases'!H8,"")</x:f>
      </x:c>
      <x:c r="D18" s="24" t="str">
        <x:f>IF(ISNUMBER('Load Cases'!I8),'Load Cases'!I8,"")</x:f>
      </x:c>
      <x:c r="E18" s="24" t="str">
        <x:f>IF(AND(ISNUMBER(B18),AND(ISNUMBER($B$6),$B$6&gt;0,ISNUMBER($E$6),$E$6&gt;0,ISNUMBER($F$6),$F$6&gt;0)),B18/$B$6+ABS(C18)/$E$6+ABS(D18)/$F$6,"")</x:f>
      </x:c>
      <x:c r="F18" s="24" t="str">
        <x:f>IF(AND(ISNUMBER(B18),AND(ISNUMBER($B$6),$B$6&gt;0,ISNUMBER($E$6),$E$6&gt;0,ISNUMBER($F$6),$F$6&gt;0)),MAX(0,ABS(C18)/$E$6+ABS(D18)/$F$6-B18/$B$6),"")</x:f>
      </x:c>
      <x:c r="G18" s="24" t="str">
        <x:f>IF(AND(ISNUMBER(B18),AND(ISNUMBER('Stock Inputs'!$C$36),'Stock Inputs'!$C$36&gt;0,ISNUMBER('Stock Inputs'!$C$37),'Stock Inputs'!$C$37&gt;0,ISNUMBER('Stock Inputs'!$C$38),'Stock Inputs'!$C$38&gt;0),AND(ISNUMBER('Stock Inputs'!$C$39),ISNUMBER('Stock Inputs'!$C$40)),'Stock Inputs'!$C$34="YES"),B18/'Stock Inputs'!$C$36+ABS(C18-B18*'Stock Inputs'!$C$40)/'Stock Inputs'!$C$37+ABS(D18+B18*'Stock Inputs'!$C$39)/'Stock Inputs'!$C$38,"")</x:f>
      </x:c>
      <x:c r="H18" s="24" t="str">
        <x:f>IF(AND(ISNUMBER(B18),AND(ISNUMBER('Stock Inputs'!$C$36),'Stock Inputs'!$C$36&gt;0,ISNUMBER('Stock Inputs'!$C$37),'Stock Inputs'!$C$37&gt;0,ISNUMBER('Stock Inputs'!$C$38),'Stock Inputs'!$C$38&gt;0),AND(ISNUMBER('Stock Inputs'!$C$39),ISNUMBER('Stock Inputs'!$C$40)),'Stock Inputs'!$C$34="YES"),MAX(0,ABS(C18-B18*'Stock Inputs'!$C$40)/'Stock Inputs'!$C$37+ABS(D18+B18*'Stock Inputs'!$C$39)/'Stock Inputs'!$C$38-B18/'Stock Inputs'!$C$36),"")</x:f>
      </x:c>
      <x:c r="I18" s="24" t="str">
        <x:f>IF(AND(ISNUMBER(B18),AND(ISNUMBER('Stock Inputs'!$C$41),'Stock Inputs'!$C$41&gt;0,ISNUMBER('Stock Inputs'!$C$42),'Stock Inputs'!$C$42&gt;0,ISNUMBER('Stock Inputs'!$C$43),'Stock Inputs'!$C$43&gt;0),AND(ISNUMBER('Stock Inputs'!$C$44),ISNUMBER('Stock Inputs'!$C$45)),'Stock Inputs'!$C$34="YES"),B18/'Stock Inputs'!$C$41+ABS(C18-B18*'Stock Inputs'!$C$45)/'Stock Inputs'!$C$42+ABS(D18+B18*'Stock Inputs'!$C$44)/'Stock Inputs'!$C$43,"")</x:f>
      </x:c>
      <x:c r="J18" s="24" t="str">
        <x:f>IF(AND(ISNUMBER(B18),AND(ISNUMBER('Stock Inputs'!$C$41),'Stock Inputs'!$C$41&gt;0,ISNUMBER('Stock Inputs'!$C$42),'Stock Inputs'!$C$42&gt;0,ISNUMBER('Stock Inputs'!$C$43),'Stock Inputs'!$C$43&gt;0),AND(ISNUMBER('Stock Inputs'!$C$44),ISNUMBER('Stock Inputs'!$C$45)),'Stock Inputs'!$C$34="YES"),MAX(0,ABS(C18-B18*'Stock Inputs'!$C$45)/'Stock Inputs'!$C$42+ABS(D18+B18*'Stock Inputs'!$C$44)/'Stock Inputs'!$C$43-B18/'Stock Inputs'!$C$41),"")</x:f>
      </x:c>
    </x:row>
    <x:row r="19" ht="28" customHeight="1">
      <x:c r="A19" s="3" t="str">
        <x:v>LC-03</x:v>
      </x:c>
      <x:c r="B19" s="25" t="str">
        <x:f>IF(ISNUMBER('Load Cases'!G9),'Load Cases'!G9,"")</x:f>
      </x:c>
      <x:c r="C19" s="25" t="str">
        <x:f>IF(ISNUMBER('Load Cases'!H9),'Load Cases'!H9,"")</x:f>
      </x:c>
      <x:c r="D19" s="25" t="str">
        <x:f>IF(ISNUMBER('Load Cases'!I9),'Load Cases'!I9,"")</x:f>
      </x:c>
      <x:c r="E19" s="25" t="str">
        <x:f>IF(AND(ISNUMBER(B19),AND(ISNUMBER($B$6),$B$6&gt;0,ISNUMBER($E$6),$E$6&gt;0,ISNUMBER($F$6),$F$6&gt;0)),B19/$B$6+ABS(C19)/$E$6+ABS(D19)/$F$6,"")</x:f>
      </x:c>
      <x:c r="F19" s="25" t="str">
        <x:f>IF(AND(ISNUMBER(B19),AND(ISNUMBER($B$6),$B$6&gt;0,ISNUMBER($E$6),$E$6&gt;0,ISNUMBER($F$6),$F$6&gt;0)),MAX(0,ABS(C19)/$E$6+ABS(D19)/$F$6-B19/$B$6),"")</x:f>
      </x:c>
      <x:c r="G19" s="25" t="str">
        <x:f>IF(AND(ISNUMBER(B19),AND(ISNUMBER('Stock Inputs'!$C$36),'Stock Inputs'!$C$36&gt;0,ISNUMBER('Stock Inputs'!$C$37),'Stock Inputs'!$C$37&gt;0,ISNUMBER('Stock Inputs'!$C$38),'Stock Inputs'!$C$38&gt;0),AND(ISNUMBER('Stock Inputs'!$C$39),ISNUMBER('Stock Inputs'!$C$40)),'Stock Inputs'!$C$34="YES"),B19/'Stock Inputs'!$C$36+ABS(C19-B19*'Stock Inputs'!$C$40)/'Stock Inputs'!$C$37+ABS(D19+B19*'Stock Inputs'!$C$39)/'Stock Inputs'!$C$38,"")</x:f>
      </x:c>
      <x:c r="H19" s="25" t="str">
        <x:f>IF(AND(ISNUMBER(B19),AND(ISNUMBER('Stock Inputs'!$C$36),'Stock Inputs'!$C$36&gt;0,ISNUMBER('Stock Inputs'!$C$37),'Stock Inputs'!$C$37&gt;0,ISNUMBER('Stock Inputs'!$C$38),'Stock Inputs'!$C$38&gt;0),AND(ISNUMBER('Stock Inputs'!$C$39),ISNUMBER('Stock Inputs'!$C$40)),'Stock Inputs'!$C$34="YES"),MAX(0,ABS(C19-B19*'Stock Inputs'!$C$40)/'Stock Inputs'!$C$37+ABS(D19+B19*'Stock Inputs'!$C$39)/'Stock Inputs'!$C$38-B19/'Stock Inputs'!$C$36),"")</x:f>
      </x:c>
      <x:c r="I19" s="25" t="str">
        <x:f>IF(AND(ISNUMBER(B19),AND(ISNUMBER('Stock Inputs'!$C$41),'Stock Inputs'!$C$41&gt;0,ISNUMBER('Stock Inputs'!$C$42),'Stock Inputs'!$C$42&gt;0,ISNUMBER('Stock Inputs'!$C$43),'Stock Inputs'!$C$43&gt;0),AND(ISNUMBER('Stock Inputs'!$C$44),ISNUMBER('Stock Inputs'!$C$45)),'Stock Inputs'!$C$34="YES"),B19/'Stock Inputs'!$C$41+ABS(C19-B19*'Stock Inputs'!$C$45)/'Stock Inputs'!$C$42+ABS(D19+B19*'Stock Inputs'!$C$44)/'Stock Inputs'!$C$43,"")</x:f>
      </x:c>
      <x:c r="J19" s="25" t="str">
        <x:f>IF(AND(ISNUMBER(B19),AND(ISNUMBER('Stock Inputs'!$C$41),'Stock Inputs'!$C$41&gt;0,ISNUMBER('Stock Inputs'!$C$42),'Stock Inputs'!$C$42&gt;0,ISNUMBER('Stock Inputs'!$C$43),'Stock Inputs'!$C$43&gt;0),AND(ISNUMBER('Stock Inputs'!$C$44),ISNUMBER('Stock Inputs'!$C$45)),'Stock Inputs'!$C$34="YES"),MAX(0,ABS(C19-B19*'Stock Inputs'!$C$45)/'Stock Inputs'!$C$42+ABS(D19+B19*'Stock Inputs'!$C$44)/'Stock Inputs'!$C$43-B19/'Stock Inputs'!$C$41),"")</x:f>
      </x:c>
    </x:row>
    <x:row r="20" ht="28" customHeight="1">
      <x:c r="A20" s="9" t="str">
        <x:v>LC-04</x:v>
      </x:c>
      <x:c r="B20" s="24" t="str">
        <x:f>IF(ISNUMBER('Load Cases'!G10),'Load Cases'!G10,"")</x:f>
      </x:c>
      <x:c r="C20" s="24" t="str">
        <x:f>IF(ISNUMBER('Load Cases'!H10),'Load Cases'!H10,"")</x:f>
      </x:c>
      <x:c r="D20" s="24" t="str">
        <x:f>IF(ISNUMBER('Load Cases'!I10),'Load Cases'!I10,"")</x:f>
      </x:c>
      <x:c r="E20" s="24" t="str">
        <x:f>IF(AND(ISNUMBER(B20),AND(ISNUMBER($B$6),$B$6&gt;0,ISNUMBER($E$6),$E$6&gt;0,ISNUMBER($F$6),$F$6&gt;0)),B20/$B$6+ABS(C20)/$E$6+ABS(D20)/$F$6,"")</x:f>
      </x:c>
      <x:c r="F20" s="24" t="str">
        <x:f>IF(AND(ISNUMBER(B20),AND(ISNUMBER($B$6),$B$6&gt;0,ISNUMBER($E$6),$E$6&gt;0,ISNUMBER($F$6),$F$6&gt;0)),MAX(0,ABS(C20)/$E$6+ABS(D20)/$F$6-B20/$B$6),"")</x:f>
      </x:c>
      <x:c r="G20" s="24" t="str">
        <x:f>IF(AND(ISNUMBER(B20),AND(ISNUMBER('Stock Inputs'!$C$36),'Stock Inputs'!$C$36&gt;0,ISNUMBER('Stock Inputs'!$C$37),'Stock Inputs'!$C$37&gt;0,ISNUMBER('Stock Inputs'!$C$38),'Stock Inputs'!$C$38&gt;0),AND(ISNUMBER('Stock Inputs'!$C$39),ISNUMBER('Stock Inputs'!$C$40)),'Stock Inputs'!$C$34="YES"),B20/'Stock Inputs'!$C$36+ABS(C20-B20*'Stock Inputs'!$C$40)/'Stock Inputs'!$C$37+ABS(D20+B20*'Stock Inputs'!$C$39)/'Stock Inputs'!$C$38,"")</x:f>
      </x:c>
      <x:c r="H20" s="24" t="str">
        <x:f>IF(AND(ISNUMBER(B20),AND(ISNUMBER('Stock Inputs'!$C$36),'Stock Inputs'!$C$36&gt;0,ISNUMBER('Stock Inputs'!$C$37),'Stock Inputs'!$C$37&gt;0,ISNUMBER('Stock Inputs'!$C$38),'Stock Inputs'!$C$38&gt;0),AND(ISNUMBER('Stock Inputs'!$C$39),ISNUMBER('Stock Inputs'!$C$40)),'Stock Inputs'!$C$34="YES"),MAX(0,ABS(C20-B20*'Stock Inputs'!$C$40)/'Stock Inputs'!$C$37+ABS(D20+B20*'Stock Inputs'!$C$39)/'Stock Inputs'!$C$38-B20/'Stock Inputs'!$C$36),"")</x:f>
      </x:c>
      <x:c r="I20" s="24" t="str">
        <x:f>IF(AND(ISNUMBER(B20),AND(ISNUMBER('Stock Inputs'!$C$41),'Stock Inputs'!$C$41&gt;0,ISNUMBER('Stock Inputs'!$C$42),'Stock Inputs'!$C$42&gt;0,ISNUMBER('Stock Inputs'!$C$43),'Stock Inputs'!$C$43&gt;0),AND(ISNUMBER('Stock Inputs'!$C$44),ISNUMBER('Stock Inputs'!$C$45)),'Stock Inputs'!$C$34="YES"),B20/'Stock Inputs'!$C$41+ABS(C20-B20*'Stock Inputs'!$C$45)/'Stock Inputs'!$C$42+ABS(D20+B20*'Stock Inputs'!$C$44)/'Stock Inputs'!$C$43,"")</x:f>
      </x:c>
      <x:c r="J20" s="24" t="str">
        <x:f>IF(AND(ISNUMBER(B20),AND(ISNUMBER('Stock Inputs'!$C$41),'Stock Inputs'!$C$41&gt;0,ISNUMBER('Stock Inputs'!$C$42),'Stock Inputs'!$C$42&gt;0,ISNUMBER('Stock Inputs'!$C$43),'Stock Inputs'!$C$43&gt;0),AND(ISNUMBER('Stock Inputs'!$C$44),ISNUMBER('Stock Inputs'!$C$45)),'Stock Inputs'!$C$34="YES"),MAX(0,ABS(C20-B20*'Stock Inputs'!$C$45)/'Stock Inputs'!$C$42+ABS(D20+B20*'Stock Inputs'!$C$44)/'Stock Inputs'!$C$43-B20/'Stock Inputs'!$C$41),"")</x:f>
      </x:c>
    </x:row>
    <x:row r="21" ht="28" customHeight="1">
      <x:c r="A21" s="3" t="str">
        <x:v>LC-05</x:v>
      </x:c>
      <x:c r="B21" s="25" t="str">
        <x:f>IF(ISNUMBER('Load Cases'!G11),'Load Cases'!G11,"")</x:f>
      </x:c>
      <x:c r="C21" s="25" t="str">
        <x:f>IF(ISNUMBER('Load Cases'!H11),'Load Cases'!H11,"")</x:f>
      </x:c>
      <x:c r="D21" s="25" t="str">
        <x:f>IF(ISNUMBER('Load Cases'!I11),'Load Cases'!I11,"")</x:f>
      </x:c>
      <x:c r="E21" s="25" t="str">
        <x:f>IF(AND(ISNUMBER(B21),AND(ISNUMBER($B$6),$B$6&gt;0,ISNUMBER($E$6),$E$6&gt;0,ISNUMBER($F$6),$F$6&gt;0)),B21/$B$6+ABS(C21)/$E$6+ABS(D21)/$F$6,"")</x:f>
      </x:c>
      <x:c r="F21" s="25" t="str">
        <x:f>IF(AND(ISNUMBER(B21),AND(ISNUMBER($B$6),$B$6&gt;0,ISNUMBER($E$6),$E$6&gt;0,ISNUMBER($F$6),$F$6&gt;0)),MAX(0,ABS(C21)/$E$6+ABS(D21)/$F$6-B21/$B$6),"")</x:f>
      </x:c>
      <x:c r="G21" s="25" t="str">
        <x:f>IF(AND(ISNUMBER(B21),AND(ISNUMBER('Stock Inputs'!$C$36),'Stock Inputs'!$C$36&gt;0,ISNUMBER('Stock Inputs'!$C$37),'Stock Inputs'!$C$37&gt;0,ISNUMBER('Stock Inputs'!$C$38),'Stock Inputs'!$C$38&gt;0),AND(ISNUMBER('Stock Inputs'!$C$39),ISNUMBER('Stock Inputs'!$C$40)),'Stock Inputs'!$C$34="YES"),B21/'Stock Inputs'!$C$36+ABS(C21-B21*'Stock Inputs'!$C$40)/'Stock Inputs'!$C$37+ABS(D21+B21*'Stock Inputs'!$C$39)/'Stock Inputs'!$C$38,"")</x:f>
      </x:c>
      <x:c r="H21" s="25" t="str">
        <x:f>IF(AND(ISNUMBER(B21),AND(ISNUMBER('Stock Inputs'!$C$36),'Stock Inputs'!$C$36&gt;0,ISNUMBER('Stock Inputs'!$C$37),'Stock Inputs'!$C$37&gt;0,ISNUMBER('Stock Inputs'!$C$38),'Stock Inputs'!$C$38&gt;0),AND(ISNUMBER('Stock Inputs'!$C$39),ISNUMBER('Stock Inputs'!$C$40)),'Stock Inputs'!$C$34="YES"),MAX(0,ABS(C21-B21*'Stock Inputs'!$C$40)/'Stock Inputs'!$C$37+ABS(D21+B21*'Stock Inputs'!$C$39)/'Stock Inputs'!$C$38-B21/'Stock Inputs'!$C$36),"")</x:f>
      </x:c>
      <x:c r="I21" s="25" t="str">
        <x:f>IF(AND(ISNUMBER(B21),AND(ISNUMBER('Stock Inputs'!$C$41),'Stock Inputs'!$C$41&gt;0,ISNUMBER('Stock Inputs'!$C$42),'Stock Inputs'!$C$42&gt;0,ISNUMBER('Stock Inputs'!$C$43),'Stock Inputs'!$C$43&gt;0),AND(ISNUMBER('Stock Inputs'!$C$44),ISNUMBER('Stock Inputs'!$C$45)),'Stock Inputs'!$C$34="YES"),B21/'Stock Inputs'!$C$41+ABS(C21-B21*'Stock Inputs'!$C$45)/'Stock Inputs'!$C$42+ABS(D21+B21*'Stock Inputs'!$C$44)/'Stock Inputs'!$C$43,"")</x:f>
      </x:c>
      <x:c r="J21" s="25" t="str">
        <x:f>IF(AND(ISNUMBER(B21),AND(ISNUMBER('Stock Inputs'!$C$41),'Stock Inputs'!$C$41&gt;0,ISNUMBER('Stock Inputs'!$C$42),'Stock Inputs'!$C$42&gt;0,ISNUMBER('Stock Inputs'!$C$43),'Stock Inputs'!$C$43&gt;0),AND(ISNUMBER('Stock Inputs'!$C$44),ISNUMBER('Stock Inputs'!$C$45)),'Stock Inputs'!$C$34="YES"),MAX(0,ABS(C21-B21*'Stock Inputs'!$C$45)/'Stock Inputs'!$C$42+ABS(D21+B21*'Stock Inputs'!$C$44)/'Stock Inputs'!$C$43-B21/'Stock Inputs'!$C$41),"")</x:f>
      </x:c>
    </x:row>
    <x:row r="22" ht="28" customHeight="1">
      <x:c r="A22" s="9" t="str">
        <x:v>LC-06</x:v>
      </x:c>
      <x:c r="B22" s="24" t="str">
        <x:f>IF(ISNUMBER('Load Cases'!G12),'Load Cases'!G12,"")</x:f>
      </x:c>
      <x:c r="C22" s="24" t="str">
        <x:f>IF(ISNUMBER('Load Cases'!H12),'Load Cases'!H12,"")</x:f>
      </x:c>
      <x:c r="D22" s="24" t="str">
        <x:f>IF(ISNUMBER('Load Cases'!I12),'Load Cases'!I12,"")</x:f>
      </x:c>
      <x:c r="E22" s="24" t="str">
        <x:f>IF(AND(ISNUMBER(B22),AND(ISNUMBER($B$6),$B$6&gt;0,ISNUMBER($E$6),$E$6&gt;0,ISNUMBER($F$6),$F$6&gt;0)),B22/$B$6+ABS(C22)/$E$6+ABS(D22)/$F$6,"")</x:f>
      </x:c>
      <x:c r="F22" s="24" t="str">
        <x:f>IF(AND(ISNUMBER(B22),AND(ISNUMBER($B$6),$B$6&gt;0,ISNUMBER($E$6),$E$6&gt;0,ISNUMBER($F$6),$F$6&gt;0)),MAX(0,ABS(C22)/$E$6+ABS(D22)/$F$6-B22/$B$6),"")</x:f>
      </x:c>
      <x:c r="G22" s="24" t="str">
        <x:f>IF(AND(ISNUMBER(B22),AND(ISNUMBER('Stock Inputs'!$C$36),'Stock Inputs'!$C$36&gt;0,ISNUMBER('Stock Inputs'!$C$37),'Stock Inputs'!$C$37&gt;0,ISNUMBER('Stock Inputs'!$C$38),'Stock Inputs'!$C$38&gt;0),AND(ISNUMBER('Stock Inputs'!$C$39),ISNUMBER('Stock Inputs'!$C$40)),'Stock Inputs'!$C$34="YES"),B22/'Stock Inputs'!$C$36+ABS(C22-B22*'Stock Inputs'!$C$40)/'Stock Inputs'!$C$37+ABS(D22+B22*'Stock Inputs'!$C$39)/'Stock Inputs'!$C$38,"")</x:f>
      </x:c>
      <x:c r="H22" s="24" t="str">
        <x:f>IF(AND(ISNUMBER(B22),AND(ISNUMBER('Stock Inputs'!$C$36),'Stock Inputs'!$C$36&gt;0,ISNUMBER('Stock Inputs'!$C$37),'Stock Inputs'!$C$37&gt;0,ISNUMBER('Stock Inputs'!$C$38),'Stock Inputs'!$C$38&gt;0),AND(ISNUMBER('Stock Inputs'!$C$39),ISNUMBER('Stock Inputs'!$C$40)),'Stock Inputs'!$C$34="YES"),MAX(0,ABS(C22-B22*'Stock Inputs'!$C$40)/'Stock Inputs'!$C$37+ABS(D22+B22*'Stock Inputs'!$C$39)/'Stock Inputs'!$C$38-B22/'Stock Inputs'!$C$36),"")</x:f>
      </x:c>
      <x:c r="I22" s="24" t="str">
        <x:f>IF(AND(ISNUMBER(B22),AND(ISNUMBER('Stock Inputs'!$C$41),'Stock Inputs'!$C$41&gt;0,ISNUMBER('Stock Inputs'!$C$42),'Stock Inputs'!$C$42&gt;0,ISNUMBER('Stock Inputs'!$C$43),'Stock Inputs'!$C$43&gt;0),AND(ISNUMBER('Stock Inputs'!$C$44),ISNUMBER('Stock Inputs'!$C$45)),'Stock Inputs'!$C$34="YES"),B22/'Stock Inputs'!$C$41+ABS(C22-B22*'Stock Inputs'!$C$45)/'Stock Inputs'!$C$42+ABS(D22+B22*'Stock Inputs'!$C$44)/'Stock Inputs'!$C$43,"")</x:f>
      </x:c>
      <x:c r="J22" s="24" t="str">
        <x:f>IF(AND(ISNUMBER(B22),AND(ISNUMBER('Stock Inputs'!$C$41),'Stock Inputs'!$C$41&gt;0,ISNUMBER('Stock Inputs'!$C$42),'Stock Inputs'!$C$42&gt;0,ISNUMBER('Stock Inputs'!$C$43),'Stock Inputs'!$C$43&gt;0),AND(ISNUMBER('Stock Inputs'!$C$44),ISNUMBER('Stock Inputs'!$C$45)),'Stock Inputs'!$C$34="YES"),MAX(0,ABS(C22-B22*'Stock Inputs'!$C$45)/'Stock Inputs'!$C$42+ABS(D22+B22*'Stock Inputs'!$C$44)/'Stock Inputs'!$C$43-B22/'Stock Inputs'!$C$41),"")</x:f>
      </x:c>
    </x:row>
    <x:row r="23" ht="28" customHeight="1">
      <x:c r="A23" s="3" t="str">
        <x:v>LC-07</x:v>
      </x:c>
      <x:c r="B23" s="25" t="str">
        <x:f>IF(ISNUMBER('Load Cases'!G13),'Load Cases'!G13,"")</x:f>
      </x:c>
      <x:c r="C23" s="25" t="str">
        <x:f>IF(ISNUMBER('Load Cases'!H13),'Load Cases'!H13,"")</x:f>
      </x:c>
      <x:c r="D23" s="25" t="str">
        <x:f>IF(ISNUMBER('Load Cases'!I13),'Load Cases'!I13,"")</x:f>
      </x:c>
      <x:c r="E23" s="25" t="str">
        <x:f>IF(AND(ISNUMBER(B23),AND(ISNUMBER($B$6),$B$6&gt;0,ISNUMBER($E$6),$E$6&gt;0,ISNUMBER($F$6),$F$6&gt;0)),B23/$B$6+ABS(C23)/$E$6+ABS(D23)/$F$6,"")</x:f>
      </x:c>
      <x:c r="F23" s="25" t="str">
        <x:f>IF(AND(ISNUMBER(B23),AND(ISNUMBER($B$6),$B$6&gt;0,ISNUMBER($E$6),$E$6&gt;0,ISNUMBER($F$6),$F$6&gt;0)),MAX(0,ABS(C23)/$E$6+ABS(D23)/$F$6-B23/$B$6),"")</x:f>
      </x:c>
      <x:c r="G23" s="25" t="str">
        <x:f>IF(AND(ISNUMBER(B23),AND(ISNUMBER('Stock Inputs'!$C$36),'Stock Inputs'!$C$36&gt;0,ISNUMBER('Stock Inputs'!$C$37),'Stock Inputs'!$C$37&gt;0,ISNUMBER('Stock Inputs'!$C$38),'Stock Inputs'!$C$38&gt;0),AND(ISNUMBER('Stock Inputs'!$C$39),ISNUMBER('Stock Inputs'!$C$40)),'Stock Inputs'!$C$34="YES"),B23/'Stock Inputs'!$C$36+ABS(C23-B23*'Stock Inputs'!$C$40)/'Stock Inputs'!$C$37+ABS(D23+B23*'Stock Inputs'!$C$39)/'Stock Inputs'!$C$38,"")</x:f>
      </x:c>
      <x:c r="H23" s="25" t="str">
        <x:f>IF(AND(ISNUMBER(B23),AND(ISNUMBER('Stock Inputs'!$C$36),'Stock Inputs'!$C$36&gt;0,ISNUMBER('Stock Inputs'!$C$37),'Stock Inputs'!$C$37&gt;0,ISNUMBER('Stock Inputs'!$C$38),'Stock Inputs'!$C$38&gt;0),AND(ISNUMBER('Stock Inputs'!$C$39),ISNUMBER('Stock Inputs'!$C$40)),'Stock Inputs'!$C$34="YES"),MAX(0,ABS(C23-B23*'Stock Inputs'!$C$40)/'Stock Inputs'!$C$37+ABS(D23+B23*'Stock Inputs'!$C$39)/'Stock Inputs'!$C$38-B23/'Stock Inputs'!$C$36),"")</x:f>
      </x:c>
      <x:c r="I23" s="25" t="str">
        <x:f>IF(AND(ISNUMBER(B23),AND(ISNUMBER('Stock Inputs'!$C$41),'Stock Inputs'!$C$41&gt;0,ISNUMBER('Stock Inputs'!$C$42),'Stock Inputs'!$C$42&gt;0,ISNUMBER('Stock Inputs'!$C$43),'Stock Inputs'!$C$43&gt;0),AND(ISNUMBER('Stock Inputs'!$C$44),ISNUMBER('Stock Inputs'!$C$45)),'Stock Inputs'!$C$34="YES"),B23/'Stock Inputs'!$C$41+ABS(C23-B23*'Stock Inputs'!$C$45)/'Stock Inputs'!$C$42+ABS(D23+B23*'Stock Inputs'!$C$44)/'Stock Inputs'!$C$43,"")</x:f>
      </x:c>
      <x:c r="J23" s="25" t="str">
        <x:f>IF(AND(ISNUMBER(B23),AND(ISNUMBER('Stock Inputs'!$C$41),'Stock Inputs'!$C$41&gt;0,ISNUMBER('Stock Inputs'!$C$42),'Stock Inputs'!$C$42&gt;0,ISNUMBER('Stock Inputs'!$C$43),'Stock Inputs'!$C$43&gt;0),AND(ISNUMBER('Stock Inputs'!$C$44),ISNUMBER('Stock Inputs'!$C$45)),'Stock Inputs'!$C$34="YES"),MAX(0,ABS(C23-B23*'Stock Inputs'!$C$45)/'Stock Inputs'!$C$42+ABS(D23+B23*'Stock Inputs'!$C$44)/'Stock Inputs'!$C$43-B23/'Stock Inputs'!$C$41),"")</x:f>
      </x:c>
    </x:row>
    <x:row r="24" ht="28" customHeight="1">
      <x:c r="A24" s="9" t="str">
        <x:v>LC-08</x:v>
      </x:c>
      <x:c r="B24" s="24" t="str">
        <x:f>IF(ISNUMBER('Load Cases'!G14),'Load Cases'!G14,"")</x:f>
      </x:c>
      <x:c r="C24" s="24" t="str">
        <x:f>IF(ISNUMBER('Load Cases'!H14),'Load Cases'!H14,"")</x:f>
      </x:c>
      <x:c r="D24" s="24" t="str">
        <x:f>IF(ISNUMBER('Load Cases'!I14),'Load Cases'!I14,"")</x:f>
      </x:c>
      <x:c r="E24" s="24" t="str">
        <x:f>IF(AND(ISNUMBER(B24),AND(ISNUMBER($B$6),$B$6&gt;0,ISNUMBER($E$6),$E$6&gt;0,ISNUMBER($F$6),$F$6&gt;0)),B24/$B$6+ABS(C24)/$E$6+ABS(D24)/$F$6,"")</x:f>
      </x:c>
      <x:c r="F24" s="24" t="str">
        <x:f>IF(AND(ISNUMBER(B24),AND(ISNUMBER($B$6),$B$6&gt;0,ISNUMBER($E$6),$E$6&gt;0,ISNUMBER($F$6),$F$6&gt;0)),MAX(0,ABS(C24)/$E$6+ABS(D24)/$F$6-B24/$B$6),"")</x:f>
      </x:c>
      <x:c r="G24" s="24" t="str">
        <x:f>IF(AND(ISNUMBER(B24),AND(ISNUMBER('Stock Inputs'!$C$36),'Stock Inputs'!$C$36&gt;0,ISNUMBER('Stock Inputs'!$C$37),'Stock Inputs'!$C$37&gt;0,ISNUMBER('Stock Inputs'!$C$38),'Stock Inputs'!$C$38&gt;0),AND(ISNUMBER('Stock Inputs'!$C$39),ISNUMBER('Stock Inputs'!$C$40)),'Stock Inputs'!$C$34="YES"),B24/'Stock Inputs'!$C$36+ABS(C24-B24*'Stock Inputs'!$C$40)/'Stock Inputs'!$C$37+ABS(D24+B24*'Stock Inputs'!$C$39)/'Stock Inputs'!$C$38,"")</x:f>
      </x:c>
      <x:c r="H24" s="24" t="str">
        <x:f>IF(AND(ISNUMBER(B24),AND(ISNUMBER('Stock Inputs'!$C$36),'Stock Inputs'!$C$36&gt;0,ISNUMBER('Stock Inputs'!$C$37),'Stock Inputs'!$C$37&gt;0,ISNUMBER('Stock Inputs'!$C$38),'Stock Inputs'!$C$38&gt;0),AND(ISNUMBER('Stock Inputs'!$C$39),ISNUMBER('Stock Inputs'!$C$40)),'Stock Inputs'!$C$34="YES"),MAX(0,ABS(C24-B24*'Stock Inputs'!$C$40)/'Stock Inputs'!$C$37+ABS(D24+B24*'Stock Inputs'!$C$39)/'Stock Inputs'!$C$38-B24/'Stock Inputs'!$C$36),"")</x:f>
      </x:c>
      <x:c r="I24" s="24" t="str">
        <x:f>IF(AND(ISNUMBER(B24),AND(ISNUMBER('Stock Inputs'!$C$41),'Stock Inputs'!$C$41&gt;0,ISNUMBER('Stock Inputs'!$C$42),'Stock Inputs'!$C$42&gt;0,ISNUMBER('Stock Inputs'!$C$43),'Stock Inputs'!$C$43&gt;0),AND(ISNUMBER('Stock Inputs'!$C$44),ISNUMBER('Stock Inputs'!$C$45)),'Stock Inputs'!$C$34="YES"),B24/'Stock Inputs'!$C$41+ABS(C24-B24*'Stock Inputs'!$C$45)/'Stock Inputs'!$C$42+ABS(D24+B24*'Stock Inputs'!$C$44)/'Stock Inputs'!$C$43,"")</x:f>
      </x:c>
      <x:c r="J24" s="24" t="str">
        <x:f>IF(AND(ISNUMBER(B24),AND(ISNUMBER('Stock Inputs'!$C$41),'Stock Inputs'!$C$41&gt;0,ISNUMBER('Stock Inputs'!$C$42),'Stock Inputs'!$C$42&gt;0,ISNUMBER('Stock Inputs'!$C$43),'Stock Inputs'!$C$43&gt;0),AND(ISNUMBER('Stock Inputs'!$C$44),ISNUMBER('Stock Inputs'!$C$45)),'Stock Inputs'!$C$34="YES"),MAX(0,ABS(C24-B24*'Stock Inputs'!$C$45)/'Stock Inputs'!$C$42+ABS(D24+B24*'Stock Inputs'!$C$44)/'Stock Inputs'!$C$43-B24/'Stock Inputs'!$C$41),"")</x:f>
      </x:c>
    </x:row>
    <x:row r="25" ht="28" customHeight="1">
      <x:c r="A25" s="3" t="str">
        <x:v>LC-09</x:v>
      </x:c>
      <x:c r="B25" s="25" t="str">
        <x:f>IF(ISNUMBER('Load Cases'!G15),'Load Cases'!G15,"")</x:f>
      </x:c>
      <x:c r="C25" s="25" t="str">
        <x:f>IF(ISNUMBER('Load Cases'!H15),'Load Cases'!H15,"")</x:f>
      </x:c>
      <x:c r="D25" s="25" t="str">
        <x:f>IF(ISNUMBER('Load Cases'!I15),'Load Cases'!I15,"")</x:f>
      </x:c>
      <x:c r="E25" s="25" t="str">
        <x:f>IF(AND(ISNUMBER(B25),AND(ISNUMBER($B$6),$B$6&gt;0,ISNUMBER($E$6),$E$6&gt;0,ISNUMBER($F$6),$F$6&gt;0)),B25/$B$6+ABS(C25)/$E$6+ABS(D25)/$F$6,"")</x:f>
      </x:c>
      <x:c r="F25" s="25" t="str">
        <x:f>IF(AND(ISNUMBER(B25),AND(ISNUMBER($B$6),$B$6&gt;0,ISNUMBER($E$6),$E$6&gt;0,ISNUMBER($F$6),$F$6&gt;0)),MAX(0,ABS(C25)/$E$6+ABS(D25)/$F$6-B25/$B$6),"")</x:f>
      </x:c>
      <x:c r="G25" s="25" t="str">
        <x:f>IF(AND(ISNUMBER(B25),AND(ISNUMBER('Stock Inputs'!$C$36),'Stock Inputs'!$C$36&gt;0,ISNUMBER('Stock Inputs'!$C$37),'Stock Inputs'!$C$37&gt;0,ISNUMBER('Stock Inputs'!$C$38),'Stock Inputs'!$C$38&gt;0),AND(ISNUMBER('Stock Inputs'!$C$39),ISNUMBER('Stock Inputs'!$C$40)),'Stock Inputs'!$C$34="YES"),B25/'Stock Inputs'!$C$36+ABS(C25-B25*'Stock Inputs'!$C$40)/'Stock Inputs'!$C$37+ABS(D25+B25*'Stock Inputs'!$C$39)/'Stock Inputs'!$C$38,"")</x:f>
      </x:c>
      <x:c r="H25" s="25" t="str">
        <x:f>IF(AND(ISNUMBER(B25),AND(ISNUMBER('Stock Inputs'!$C$36),'Stock Inputs'!$C$36&gt;0,ISNUMBER('Stock Inputs'!$C$37),'Stock Inputs'!$C$37&gt;0,ISNUMBER('Stock Inputs'!$C$38),'Stock Inputs'!$C$38&gt;0),AND(ISNUMBER('Stock Inputs'!$C$39),ISNUMBER('Stock Inputs'!$C$40)),'Stock Inputs'!$C$34="YES"),MAX(0,ABS(C25-B25*'Stock Inputs'!$C$40)/'Stock Inputs'!$C$37+ABS(D25+B25*'Stock Inputs'!$C$39)/'Stock Inputs'!$C$38-B25/'Stock Inputs'!$C$36),"")</x:f>
      </x:c>
      <x:c r="I25" s="25" t="str">
        <x:f>IF(AND(ISNUMBER(B25),AND(ISNUMBER('Stock Inputs'!$C$41),'Stock Inputs'!$C$41&gt;0,ISNUMBER('Stock Inputs'!$C$42),'Stock Inputs'!$C$42&gt;0,ISNUMBER('Stock Inputs'!$C$43),'Stock Inputs'!$C$43&gt;0),AND(ISNUMBER('Stock Inputs'!$C$44),ISNUMBER('Stock Inputs'!$C$45)),'Stock Inputs'!$C$34="YES"),B25/'Stock Inputs'!$C$41+ABS(C25-B25*'Stock Inputs'!$C$45)/'Stock Inputs'!$C$42+ABS(D25+B25*'Stock Inputs'!$C$44)/'Stock Inputs'!$C$43,"")</x:f>
      </x:c>
      <x:c r="J25" s="25" t="str">
        <x:f>IF(AND(ISNUMBER(B25),AND(ISNUMBER('Stock Inputs'!$C$41),'Stock Inputs'!$C$41&gt;0,ISNUMBER('Stock Inputs'!$C$42),'Stock Inputs'!$C$42&gt;0,ISNUMBER('Stock Inputs'!$C$43),'Stock Inputs'!$C$43&gt;0),AND(ISNUMBER('Stock Inputs'!$C$44),ISNUMBER('Stock Inputs'!$C$45)),'Stock Inputs'!$C$34="YES"),MAX(0,ABS(C25-B25*'Stock Inputs'!$C$45)/'Stock Inputs'!$C$42+ABS(D25+B25*'Stock Inputs'!$C$44)/'Stock Inputs'!$C$43-B25/'Stock Inputs'!$C$41),"")</x:f>
      </x:c>
    </x:row>
    <x:row r="26" ht="28" customHeight="1">
      <x:c r="A26" s="9" t="str">
        <x:v>LC-10</x:v>
      </x:c>
      <x:c r="B26" s="24" t="str">
        <x:f>IF(ISNUMBER('Load Cases'!G16),'Load Cases'!G16,"")</x:f>
      </x:c>
      <x:c r="C26" s="24" t="str">
        <x:f>IF(ISNUMBER('Load Cases'!H16),'Load Cases'!H16,"")</x:f>
      </x:c>
      <x:c r="D26" s="24" t="str">
        <x:f>IF(ISNUMBER('Load Cases'!I16),'Load Cases'!I16,"")</x:f>
      </x:c>
      <x:c r="E26" s="24" t="str">
        <x:f>IF(AND(ISNUMBER(B26),AND(ISNUMBER($B$6),$B$6&gt;0,ISNUMBER($E$6),$E$6&gt;0,ISNUMBER($F$6),$F$6&gt;0)),B26/$B$6+ABS(C26)/$E$6+ABS(D26)/$F$6,"")</x:f>
      </x:c>
      <x:c r="F26" s="24" t="str">
        <x:f>IF(AND(ISNUMBER(B26),AND(ISNUMBER($B$6),$B$6&gt;0,ISNUMBER($E$6),$E$6&gt;0,ISNUMBER($F$6),$F$6&gt;0)),MAX(0,ABS(C26)/$E$6+ABS(D26)/$F$6-B26/$B$6),"")</x:f>
      </x:c>
      <x:c r="G26" s="24" t="str">
        <x:f>IF(AND(ISNUMBER(B26),AND(ISNUMBER('Stock Inputs'!$C$36),'Stock Inputs'!$C$36&gt;0,ISNUMBER('Stock Inputs'!$C$37),'Stock Inputs'!$C$37&gt;0,ISNUMBER('Stock Inputs'!$C$38),'Stock Inputs'!$C$38&gt;0),AND(ISNUMBER('Stock Inputs'!$C$39),ISNUMBER('Stock Inputs'!$C$40)),'Stock Inputs'!$C$34="YES"),B26/'Stock Inputs'!$C$36+ABS(C26-B26*'Stock Inputs'!$C$40)/'Stock Inputs'!$C$37+ABS(D26+B26*'Stock Inputs'!$C$39)/'Stock Inputs'!$C$38,"")</x:f>
      </x:c>
      <x:c r="H26" s="24" t="str">
        <x:f>IF(AND(ISNUMBER(B26),AND(ISNUMBER('Stock Inputs'!$C$36),'Stock Inputs'!$C$36&gt;0,ISNUMBER('Stock Inputs'!$C$37),'Stock Inputs'!$C$37&gt;0,ISNUMBER('Stock Inputs'!$C$38),'Stock Inputs'!$C$38&gt;0),AND(ISNUMBER('Stock Inputs'!$C$39),ISNUMBER('Stock Inputs'!$C$40)),'Stock Inputs'!$C$34="YES"),MAX(0,ABS(C26-B26*'Stock Inputs'!$C$40)/'Stock Inputs'!$C$37+ABS(D26+B26*'Stock Inputs'!$C$39)/'Stock Inputs'!$C$38-B26/'Stock Inputs'!$C$36),"")</x:f>
      </x:c>
      <x:c r="I26" s="24" t="str">
        <x:f>IF(AND(ISNUMBER(B26),AND(ISNUMBER('Stock Inputs'!$C$41),'Stock Inputs'!$C$41&gt;0,ISNUMBER('Stock Inputs'!$C$42),'Stock Inputs'!$C$42&gt;0,ISNUMBER('Stock Inputs'!$C$43),'Stock Inputs'!$C$43&gt;0),AND(ISNUMBER('Stock Inputs'!$C$44),ISNUMBER('Stock Inputs'!$C$45)),'Stock Inputs'!$C$34="YES"),B26/'Stock Inputs'!$C$41+ABS(C26-B26*'Stock Inputs'!$C$45)/'Stock Inputs'!$C$42+ABS(D26+B26*'Stock Inputs'!$C$44)/'Stock Inputs'!$C$43,"")</x:f>
      </x:c>
      <x:c r="J26" s="24" t="str">
        <x:f>IF(AND(ISNUMBER(B26),AND(ISNUMBER('Stock Inputs'!$C$41),'Stock Inputs'!$C$41&gt;0,ISNUMBER('Stock Inputs'!$C$42),'Stock Inputs'!$C$42&gt;0,ISNUMBER('Stock Inputs'!$C$43),'Stock Inputs'!$C$43&gt;0),AND(ISNUMBER('Stock Inputs'!$C$44),ISNUMBER('Stock Inputs'!$C$45)),'Stock Inputs'!$C$34="YES"),MAX(0,ABS(C26-B26*'Stock Inputs'!$C$45)/'Stock Inputs'!$C$42+ABS(D26+B26*'Stock Inputs'!$C$44)/'Stock Inputs'!$C$43-B26/'Stock Inputs'!$C$41),"")</x:f>
      </x:c>
    </x:row>
    <x:row r="27" ht="28" customHeight="1">
      <x:c r="A27" s="3" t="str">
        <x:v>LC-11</x:v>
      </x:c>
      <x:c r="B27" s="25" t="str">
        <x:f>IF(ISNUMBER('Load Cases'!G17),'Load Cases'!G17,"")</x:f>
      </x:c>
      <x:c r="C27" s="25" t="str">
        <x:f>IF(ISNUMBER('Load Cases'!H17),'Load Cases'!H17,"")</x:f>
      </x:c>
      <x:c r="D27" s="25" t="str">
        <x:f>IF(ISNUMBER('Load Cases'!I17),'Load Cases'!I17,"")</x:f>
      </x:c>
      <x:c r="E27" s="25" t="str">
        <x:f>IF(AND(ISNUMBER(B27),AND(ISNUMBER($B$6),$B$6&gt;0,ISNUMBER($E$6),$E$6&gt;0,ISNUMBER($F$6),$F$6&gt;0)),B27/$B$6+ABS(C27)/$E$6+ABS(D27)/$F$6,"")</x:f>
      </x:c>
      <x:c r="F27" s="25" t="str">
        <x:f>IF(AND(ISNUMBER(B27),AND(ISNUMBER($B$6),$B$6&gt;0,ISNUMBER($E$6),$E$6&gt;0,ISNUMBER($F$6),$F$6&gt;0)),MAX(0,ABS(C27)/$E$6+ABS(D27)/$F$6-B27/$B$6),"")</x:f>
      </x:c>
      <x:c r="G27" s="25" t="str">
        <x:f>IF(AND(ISNUMBER(B27),AND(ISNUMBER('Stock Inputs'!$C$36),'Stock Inputs'!$C$36&gt;0,ISNUMBER('Stock Inputs'!$C$37),'Stock Inputs'!$C$37&gt;0,ISNUMBER('Stock Inputs'!$C$38),'Stock Inputs'!$C$38&gt;0),AND(ISNUMBER('Stock Inputs'!$C$39),ISNUMBER('Stock Inputs'!$C$40)),'Stock Inputs'!$C$34="YES"),B27/'Stock Inputs'!$C$36+ABS(C27-B27*'Stock Inputs'!$C$40)/'Stock Inputs'!$C$37+ABS(D27+B27*'Stock Inputs'!$C$39)/'Stock Inputs'!$C$38,"")</x:f>
      </x:c>
      <x:c r="H27" s="25" t="str">
        <x:f>IF(AND(ISNUMBER(B27),AND(ISNUMBER('Stock Inputs'!$C$36),'Stock Inputs'!$C$36&gt;0,ISNUMBER('Stock Inputs'!$C$37),'Stock Inputs'!$C$37&gt;0,ISNUMBER('Stock Inputs'!$C$38),'Stock Inputs'!$C$38&gt;0),AND(ISNUMBER('Stock Inputs'!$C$39),ISNUMBER('Stock Inputs'!$C$40)),'Stock Inputs'!$C$34="YES"),MAX(0,ABS(C27-B27*'Stock Inputs'!$C$40)/'Stock Inputs'!$C$37+ABS(D27+B27*'Stock Inputs'!$C$39)/'Stock Inputs'!$C$38-B27/'Stock Inputs'!$C$36),"")</x:f>
      </x:c>
      <x:c r="I27" s="25" t="str">
        <x:f>IF(AND(ISNUMBER(B27),AND(ISNUMBER('Stock Inputs'!$C$41),'Stock Inputs'!$C$41&gt;0,ISNUMBER('Stock Inputs'!$C$42),'Stock Inputs'!$C$42&gt;0,ISNUMBER('Stock Inputs'!$C$43),'Stock Inputs'!$C$43&gt;0),AND(ISNUMBER('Stock Inputs'!$C$44),ISNUMBER('Stock Inputs'!$C$45)),'Stock Inputs'!$C$34="YES"),B27/'Stock Inputs'!$C$41+ABS(C27-B27*'Stock Inputs'!$C$45)/'Stock Inputs'!$C$42+ABS(D27+B27*'Stock Inputs'!$C$44)/'Stock Inputs'!$C$43,"")</x:f>
      </x:c>
      <x:c r="J27" s="25" t="str">
        <x:f>IF(AND(ISNUMBER(B27),AND(ISNUMBER('Stock Inputs'!$C$41),'Stock Inputs'!$C$41&gt;0,ISNUMBER('Stock Inputs'!$C$42),'Stock Inputs'!$C$42&gt;0,ISNUMBER('Stock Inputs'!$C$43),'Stock Inputs'!$C$43&gt;0),AND(ISNUMBER('Stock Inputs'!$C$44),ISNUMBER('Stock Inputs'!$C$45)),'Stock Inputs'!$C$34="YES"),MAX(0,ABS(C27-B27*'Stock Inputs'!$C$45)/'Stock Inputs'!$C$42+ABS(D27+B27*'Stock Inputs'!$C$44)/'Stock Inputs'!$C$43-B27/'Stock Inputs'!$C$41),"")</x:f>
      </x:c>
    </x:row>
    <x:row r="28" ht="28" customHeight="1">
      <x:c r="A28" s="9" t="str">
        <x:v>LC-12</x:v>
      </x:c>
      <x:c r="B28" s="24" t="str">
        <x:f>IF(ISNUMBER('Load Cases'!G18),'Load Cases'!G18,"")</x:f>
      </x:c>
      <x:c r="C28" s="24" t="str">
        <x:f>IF(ISNUMBER('Load Cases'!H18),'Load Cases'!H18,"")</x:f>
      </x:c>
      <x:c r="D28" s="24" t="str">
        <x:f>IF(ISNUMBER('Load Cases'!I18),'Load Cases'!I18,"")</x:f>
      </x:c>
      <x:c r="E28" s="24" t="str">
        <x:f>IF(AND(ISNUMBER(B28),AND(ISNUMBER($B$6),$B$6&gt;0,ISNUMBER($E$6),$E$6&gt;0,ISNUMBER($F$6),$F$6&gt;0)),B28/$B$6+ABS(C28)/$E$6+ABS(D28)/$F$6,"")</x:f>
      </x:c>
      <x:c r="F28" s="24" t="str">
        <x:f>IF(AND(ISNUMBER(B28),AND(ISNUMBER($B$6),$B$6&gt;0,ISNUMBER($E$6),$E$6&gt;0,ISNUMBER($F$6),$F$6&gt;0)),MAX(0,ABS(C28)/$E$6+ABS(D28)/$F$6-B28/$B$6),"")</x:f>
      </x:c>
      <x:c r="G28" s="24" t="str">
        <x:f>IF(AND(ISNUMBER(B28),AND(ISNUMBER('Stock Inputs'!$C$36),'Stock Inputs'!$C$36&gt;0,ISNUMBER('Stock Inputs'!$C$37),'Stock Inputs'!$C$37&gt;0,ISNUMBER('Stock Inputs'!$C$38),'Stock Inputs'!$C$38&gt;0),AND(ISNUMBER('Stock Inputs'!$C$39),ISNUMBER('Stock Inputs'!$C$40)),'Stock Inputs'!$C$34="YES"),B28/'Stock Inputs'!$C$36+ABS(C28-B28*'Stock Inputs'!$C$40)/'Stock Inputs'!$C$37+ABS(D28+B28*'Stock Inputs'!$C$39)/'Stock Inputs'!$C$38,"")</x:f>
      </x:c>
      <x:c r="H28" s="24" t="str">
        <x:f>IF(AND(ISNUMBER(B28),AND(ISNUMBER('Stock Inputs'!$C$36),'Stock Inputs'!$C$36&gt;0,ISNUMBER('Stock Inputs'!$C$37),'Stock Inputs'!$C$37&gt;0,ISNUMBER('Stock Inputs'!$C$38),'Stock Inputs'!$C$38&gt;0),AND(ISNUMBER('Stock Inputs'!$C$39),ISNUMBER('Stock Inputs'!$C$40)),'Stock Inputs'!$C$34="YES"),MAX(0,ABS(C28-B28*'Stock Inputs'!$C$40)/'Stock Inputs'!$C$37+ABS(D28+B28*'Stock Inputs'!$C$39)/'Stock Inputs'!$C$38-B28/'Stock Inputs'!$C$36),"")</x:f>
      </x:c>
      <x:c r="I28" s="24" t="str">
        <x:f>IF(AND(ISNUMBER(B28),AND(ISNUMBER('Stock Inputs'!$C$41),'Stock Inputs'!$C$41&gt;0,ISNUMBER('Stock Inputs'!$C$42),'Stock Inputs'!$C$42&gt;0,ISNUMBER('Stock Inputs'!$C$43),'Stock Inputs'!$C$43&gt;0),AND(ISNUMBER('Stock Inputs'!$C$44),ISNUMBER('Stock Inputs'!$C$45)),'Stock Inputs'!$C$34="YES"),B28/'Stock Inputs'!$C$41+ABS(C28-B28*'Stock Inputs'!$C$45)/'Stock Inputs'!$C$42+ABS(D28+B28*'Stock Inputs'!$C$44)/'Stock Inputs'!$C$43,"")</x:f>
      </x:c>
      <x:c r="J28" s="24" t="str">
        <x:f>IF(AND(ISNUMBER(B28),AND(ISNUMBER('Stock Inputs'!$C$41),'Stock Inputs'!$C$41&gt;0,ISNUMBER('Stock Inputs'!$C$42),'Stock Inputs'!$C$42&gt;0,ISNUMBER('Stock Inputs'!$C$43),'Stock Inputs'!$C$43&gt;0),AND(ISNUMBER('Stock Inputs'!$C$44),ISNUMBER('Stock Inputs'!$C$45)),'Stock Inputs'!$C$34="YES"),MAX(0,ABS(C28-B28*'Stock Inputs'!$C$45)/'Stock Inputs'!$C$42+ABS(D28+B28*'Stock Inputs'!$C$44)/'Stock Inputs'!$C$43-B28/'Stock Inputs'!$C$41),"")</x:f>
      </x:c>
    </x:row>
    <x:row r="29" ht="28" customHeight="1">
      <x:c r="A29" s="3" t="str">
        <x:v>LC-13</x:v>
      </x:c>
      <x:c r="B29" s="25" t="str">
        <x:f>IF(ISNUMBER('Load Cases'!G19),'Load Cases'!G19,"")</x:f>
      </x:c>
      <x:c r="C29" s="25" t="str">
        <x:f>IF(ISNUMBER('Load Cases'!H19),'Load Cases'!H19,"")</x:f>
      </x:c>
      <x:c r="D29" s="25" t="str">
        <x:f>IF(ISNUMBER('Load Cases'!I19),'Load Cases'!I19,"")</x:f>
      </x:c>
      <x:c r="E29" s="25" t="str">
        <x:f>IF(AND(ISNUMBER(B29),AND(ISNUMBER($B$6),$B$6&gt;0,ISNUMBER($E$6),$E$6&gt;0,ISNUMBER($F$6),$F$6&gt;0)),B29/$B$6+ABS(C29)/$E$6+ABS(D29)/$F$6,"")</x:f>
      </x:c>
      <x:c r="F29" s="25" t="str">
        <x:f>IF(AND(ISNUMBER(B29),AND(ISNUMBER($B$6),$B$6&gt;0,ISNUMBER($E$6),$E$6&gt;0,ISNUMBER($F$6),$F$6&gt;0)),MAX(0,ABS(C29)/$E$6+ABS(D29)/$F$6-B29/$B$6),"")</x:f>
      </x:c>
      <x:c r="G29" s="25" t="str">
        <x:f>IF(AND(ISNUMBER(B29),AND(ISNUMBER('Stock Inputs'!$C$36),'Stock Inputs'!$C$36&gt;0,ISNUMBER('Stock Inputs'!$C$37),'Stock Inputs'!$C$37&gt;0,ISNUMBER('Stock Inputs'!$C$38),'Stock Inputs'!$C$38&gt;0),AND(ISNUMBER('Stock Inputs'!$C$39),ISNUMBER('Stock Inputs'!$C$40)),'Stock Inputs'!$C$34="YES"),B29/'Stock Inputs'!$C$36+ABS(C29-B29*'Stock Inputs'!$C$40)/'Stock Inputs'!$C$37+ABS(D29+B29*'Stock Inputs'!$C$39)/'Stock Inputs'!$C$38,"")</x:f>
      </x:c>
      <x:c r="H29" s="25" t="str">
        <x:f>IF(AND(ISNUMBER(B29),AND(ISNUMBER('Stock Inputs'!$C$36),'Stock Inputs'!$C$36&gt;0,ISNUMBER('Stock Inputs'!$C$37),'Stock Inputs'!$C$37&gt;0,ISNUMBER('Stock Inputs'!$C$38),'Stock Inputs'!$C$38&gt;0),AND(ISNUMBER('Stock Inputs'!$C$39),ISNUMBER('Stock Inputs'!$C$40)),'Stock Inputs'!$C$34="YES"),MAX(0,ABS(C29-B29*'Stock Inputs'!$C$40)/'Stock Inputs'!$C$37+ABS(D29+B29*'Stock Inputs'!$C$39)/'Stock Inputs'!$C$38-B29/'Stock Inputs'!$C$36),"")</x:f>
      </x:c>
      <x:c r="I29" s="25" t="str">
        <x:f>IF(AND(ISNUMBER(B29),AND(ISNUMBER('Stock Inputs'!$C$41),'Stock Inputs'!$C$41&gt;0,ISNUMBER('Stock Inputs'!$C$42),'Stock Inputs'!$C$42&gt;0,ISNUMBER('Stock Inputs'!$C$43),'Stock Inputs'!$C$43&gt;0),AND(ISNUMBER('Stock Inputs'!$C$44),ISNUMBER('Stock Inputs'!$C$45)),'Stock Inputs'!$C$34="YES"),B29/'Stock Inputs'!$C$41+ABS(C29-B29*'Stock Inputs'!$C$45)/'Stock Inputs'!$C$42+ABS(D29+B29*'Stock Inputs'!$C$44)/'Stock Inputs'!$C$43,"")</x:f>
      </x:c>
      <x:c r="J29" s="25" t="str">
        <x:f>IF(AND(ISNUMBER(B29),AND(ISNUMBER('Stock Inputs'!$C$41),'Stock Inputs'!$C$41&gt;0,ISNUMBER('Stock Inputs'!$C$42),'Stock Inputs'!$C$42&gt;0,ISNUMBER('Stock Inputs'!$C$43),'Stock Inputs'!$C$43&gt;0),AND(ISNUMBER('Stock Inputs'!$C$44),ISNUMBER('Stock Inputs'!$C$45)),'Stock Inputs'!$C$34="YES"),MAX(0,ABS(C29-B29*'Stock Inputs'!$C$45)/'Stock Inputs'!$C$42+ABS(D29+B29*'Stock Inputs'!$C$44)/'Stock Inputs'!$C$43-B29/'Stock Inputs'!$C$41),"")</x:f>
      </x:c>
    </x:row>
    <x:row r="30" ht="28" customHeight="1">
      <x:c r="A30" s="9" t="str">
        <x:v>LC-14</x:v>
      </x:c>
      <x:c r="B30" s="24" t="str">
        <x:f>IF(ISNUMBER('Load Cases'!G20),'Load Cases'!G20,"")</x:f>
      </x:c>
      <x:c r="C30" s="24" t="str">
        <x:f>IF(ISNUMBER('Load Cases'!H20),'Load Cases'!H20,"")</x:f>
      </x:c>
      <x:c r="D30" s="24" t="str">
        <x:f>IF(ISNUMBER('Load Cases'!I20),'Load Cases'!I20,"")</x:f>
      </x:c>
      <x:c r="E30" s="24" t="str">
        <x:f>IF(AND(ISNUMBER(B30),AND(ISNUMBER($B$6),$B$6&gt;0,ISNUMBER($E$6),$E$6&gt;0,ISNUMBER($F$6),$F$6&gt;0)),B30/$B$6+ABS(C30)/$E$6+ABS(D30)/$F$6,"")</x:f>
      </x:c>
      <x:c r="F30" s="24" t="str">
        <x:f>IF(AND(ISNUMBER(B30),AND(ISNUMBER($B$6),$B$6&gt;0,ISNUMBER($E$6),$E$6&gt;0,ISNUMBER($F$6),$F$6&gt;0)),MAX(0,ABS(C30)/$E$6+ABS(D30)/$F$6-B30/$B$6),"")</x:f>
      </x:c>
      <x:c r="G30" s="24" t="str">
        <x:f>IF(AND(ISNUMBER(B30),AND(ISNUMBER('Stock Inputs'!$C$36),'Stock Inputs'!$C$36&gt;0,ISNUMBER('Stock Inputs'!$C$37),'Stock Inputs'!$C$37&gt;0,ISNUMBER('Stock Inputs'!$C$38),'Stock Inputs'!$C$38&gt;0),AND(ISNUMBER('Stock Inputs'!$C$39),ISNUMBER('Stock Inputs'!$C$40)),'Stock Inputs'!$C$34="YES"),B30/'Stock Inputs'!$C$36+ABS(C30-B30*'Stock Inputs'!$C$40)/'Stock Inputs'!$C$37+ABS(D30+B30*'Stock Inputs'!$C$39)/'Stock Inputs'!$C$38,"")</x:f>
      </x:c>
      <x:c r="H30" s="24" t="str">
        <x:f>IF(AND(ISNUMBER(B30),AND(ISNUMBER('Stock Inputs'!$C$36),'Stock Inputs'!$C$36&gt;0,ISNUMBER('Stock Inputs'!$C$37),'Stock Inputs'!$C$37&gt;0,ISNUMBER('Stock Inputs'!$C$38),'Stock Inputs'!$C$38&gt;0),AND(ISNUMBER('Stock Inputs'!$C$39),ISNUMBER('Stock Inputs'!$C$40)),'Stock Inputs'!$C$34="YES"),MAX(0,ABS(C30-B30*'Stock Inputs'!$C$40)/'Stock Inputs'!$C$37+ABS(D30+B30*'Stock Inputs'!$C$39)/'Stock Inputs'!$C$38-B30/'Stock Inputs'!$C$36),"")</x:f>
      </x:c>
      <x:c r="I30" s="24" t="str">
        <x:f>IF(AND(ISNUMBER(B30),AND(ISNUMBER('Stock Inputs'!$C$41),'Stock Inputs'!$C$41&gt;0,ISNUMBER('Stock Inputs'!$C$42),'Stock Inputs'!$C$42&gt;0,ISNUMBER('Stock Inputs'!$C$43),'Stock Inputs'!$C$43&gt;0),AND(ISNUMBER('Stock Inputs'!$C$44),ISNUMBER('Stock Inputs'!$C$45)),'Stock Inputs'!$C$34="YES"),B30/'Stock Inputs'!$C$41+ABS(C30-B30*'Stock Inputs'!$C$45)/'Stock Inputs'!$C$42+ABS(D30+B30*'Stock Inputs'!$C$44)/'Stock Inputs'!$C$43,"")</x:f>
      </x:c>
      <x:c r="J30" s="24" t="str">
        <x:f>IF(AND(ISNUMBER(B30),AND(ISNUMBER('Stock Inputs'!$C$41),'Stock Inputs'!$C$41&gt;0,ISNUMBER('Stock Inputs'!$C$42),'Stock Inputs'!$C$42&gt;0,ISNUMBER('Stock Inputs'!$C$43),'Stock Inputs'!$C$43&gt;0),AND(ISNUMBER('Stock Inputs'!$C$44),ISNUMBER('Stock Inputs'!$C$45)),'Stock Inputs'!$C$34="YES"),MAX(0,ABS(C30-B30*'Stock Inputs'!$C$45)/'Stock Inputs'!$C$42+ABS(D30+B30*'Stock Inputs'!$C$44)/'Stock Inputs'!$C$43-B30/'Stock Inputs'!$C$41),"")</x:f>
      </x:c>
    </x:row>
    <x:row r="31" ht="28" customHeight="1">
      <x:c r="A31" s="3" t="str">
        <x:v>LC-15</x:v>
      </x:c>
      <x:c r="B31" s="25" t="str">
        <x:f>IF(ISNUMBER('Load Cases'!G21),'Load Cases'!G21,"")</x:f>
      </x:c>
      <x:c r="C31" s="25" t="str">
        <x:f>IF(ISNUMBER('Load Cases'!H21),'Load Cases'!H21,"")</x:f>
      </x:c>
      <x:c r="D31" s="25" t="str">
        <x:f>IF(ISNUMBER('Load Cases'!I21),'Load Cases'!I21,"")</x:f>
      </x:c>
      <x:c r="E31" s="25" t="str">
        <x:f>IF(AND(ISNUMBER(B31),AND(ISNUMBER($B$6),$B$6&gt;0,ISNUMBER($E$6),$E$6&gt;0,ISNUMBER($F$6),$F$6&gt;0)),B31/$B$6+ABS(C31)/$E$6+ABS(D31)/$F$6,"")</x:f>
      </x:c>
      <x:c r="F31" s="25" t="str">
        <x:f>IF(AND(ISNUMBER(B31),AND(ISNUMBER($B$6),$B$6&gt;0,ISNUMBER($E$6),$E$6&gt;0,ISNUMBER($F$6),$F$6&gt;0)),MAX(0,ABS(C31)/$E$6+ABS(D31)/$F$6-B31/$B$6),"")</x:f>
      </x:c>
      <x:c r="G31" s="25" t="str">
        <x:f>IF(AND(ISNUMBER(B31),AND(ISNUMBER('Stock Inputs'!$C$36),'Stock Inputs'!$C$36&gt;0,ISNUMBER('Stock Inputs'!$C$37),'Stock Inputs'!$C$37&gt;0,ISNUMBER('Stock Inputs'!$C$38),'Stock Inputs'!$C$38&gt;0),AND(ISNUMBER('Stock Inputs'!$C$39),ISNUMBER('Stock Inputs'!$C$40)),'Stock Inputs'!$C$34="YES"),B31/'Stock Inputs'!$C$36+ABS(C31-B31*'Stock Inputs'!$C$40)/'Stock Inputs'!$C$37+ABS(D31+B31*'Stock Inputs'!$C$39)/'Stock Inputs'!$C$38,"")</x:f>
      </x:c>
      <x:c r="H31" s="25" t="str">
        <x:f>IF(AND(ISNUMBER(B31),AND(ISNUMBER('Stock Inputs'!$C$36),'Stock Inputs'!$C$36&gt;0,ISNUMBER('Stock Inputs'!$C$37),'Stock Inputs'!$C$37&gt;0,ISNUMBER('Stock Inputs'!$C$38),'Stock Inputs'!$C$38&gt;0),AND(ISNUMBER('Stock Inputs'!$C$39),ISNUMBER('Stock Inputs'!$C$40)),'Stock Inputs'!$C$34="YES"),MAX(0,ABS(C31-B31*'Stock Inputs'!$C$40)/'Stock Inputs'!$C$37+ABS(D31+B31*'Stock Inputs'!$C$39)/'Stock Inputs'!$C$38-B31/'Stock Inputs'!$C$36),"")</x:f>
      </x:c>
      <x:c r="I31" s="25" t="str">
        <x:f>IF(AND(ISNUMBER(B31),AND(ISNUMBER('Stock Inputs'!$C$41),'Stock Inputs'!$C$41&gt;0,ISNUMBER('Stock Inputs'!$C$42),'Stock Inputs'!$C$42&gt;0,ISNUMBER('Stock Inputs'!$C$43),'Stock Inputs'!$C$43&gt;0),AND(ISNUMBER('Stock Inputs'!$C$44),ISNUMBER('Stock Inputs'!$C$45)),'Stock Inputs'!$C$34="YES"),B31/'Stock Inputs'!$C$41+ABS(C31-B31*'Stock Inputs'!$C$45)/'Stock Inputs'!$C$42+ABS(D31+B31*'Stock Inputs'!$C$44)/'Stock Inputs'!$C$43,"")</x:f>
      </x:c>
      <x:c r="J31" s="25" t="str">
        <x:f>IF(AND(ISNUMBER(B31),AND(ISNUMBER('Stock Inputs'!$C$41),'Stock Inputs'!$C$41&gt;0,ISNUMBER('Stock Inputs'!$C$42),'Stock Inputs'!$C$42&gt;0,ISNUMBER('Stock Inputs'!$C$43),'Stock Inputs'!$C$43&gt;0),AND(ISNUMBER('Stock Inputs'!$C$44),ISNUMBER('Stock Inputs'!$C$45)),'Stock Inputs'!$C$34="YES"),MAX(0,ABS(C31-B31*'Stock Inputs'!$C$45)/'Stock Inputs'!$C$42+ABS(D31+B31*'Stock Inputs'!$C$44)/'Stock Inputs'!$C$43-B31/'Stock Inputs'!$C$41),"")</x:f>
      </x:c>
    </x:row>
    <x:row r="32" ht="28" customHeight="1">
      <x:c r="A32" s="9" t="str">
        <x:v>LC-16</x:v>
      </x:c>
      <x:c r="B32" s="24" t="str">
        <x:f>IF(ISNUMBER('Load Cases'!G22),'Load Cases'!G22,"")</x:f>
      </x:c>
      <x:c r="C32" s="24" t="str">
        <x:f>IF(ISNUMBER('Load Cases'!H22),'Load Cases'!H22,"")</x:f>
      </x:c>
      <x:c r="D32" s="24" t="str">
        <x:f>IF(ISNUMBER('Load Cases'!I22),'Load Cases'!I22,"")</x:f>
      </x:c>
      <x:c r="E32" s="24" t="str">
        <x:f>IF(AND(ISNUMBER(B32),AND(ISNUMBER($B$6),$B$6&gt;0,ISNUMBER($E$6),$E$6&gt;0,ISNUMBER($F$6),$F$6&gt;0)),B32/$B$6+ABS(C32)/$E$6+ABS(D32)/$F$6,"")</x:f>
      </x:c>
      <x:c r="F32" s="24" t="str">
        <x:f>IF(AND(ISNUMBER(B32),AND(ISNUMBER($B$6),$B$6&gt;0,ISNUMBER($E$6),$E$6&gt;0,ISNUMBER($F$6),$F$6&gt;0)),MAX(0,ABS(C32)/$E$6+ABS(D32)/$F$6-B32/$B$6),"")</x:f>
      </x:c>
      <x:c r="G32" s="24" t="str">
        <x:f>IF(AND(ISNUMBER(B32),AND(ISNUMBER('Stock Inputs'!$C$36),'Stock Inputs'!$C$36&gt;0,ISNUMBER('Stock Inputs'!$C$37),'Stock Inputs'!$C$37&gt;0,ISNUMBER('Stock Inputs'!$C$38),'Stock Inputs'!$C$38&gt;0),AND(ISNUMBER('Stock Inputs'!$C$39),ISNUMBER('Stock Inputs'!$C$40)),'Stock Inputs'!$C$34="YES"),B32/'Stock Inputs'!$C$36+ABS(C32-B32*'Stock Inputs'!$C$40)/'Stock Inputs'!$C$37+ABS(D32+B32*'Stock Inputs'!$C$39)/'Stock Inputs'!$C$38,"")</x:f>
      </x:c>
      <x:c r="H32" s="24" t="str">
        <x:f>IF(AND(ISNUMBER(B32),AND(ISNUMBER('Stock Inputs'!$C$36),'Stock Inputs'!$C$36&gt;0,ISNUMBER('Stock Inputs'!$C$37),'Stock Inputs'!$C$37&gt;0,ISNUMBER('Stock Inputs'!$C$38),'Stock Inputs'!$C$38&gt;0),AND(ISNUMBER('Stock Inputs'!$C$39),ISNUMBER('Stock Inputs'!$C$40)),'Stock Inputs'!$C$34="YES"),MAX(0,ABS(C32-B32*'Stock Inputs'!$C$40)/'Stock Inputs'!$C$37+ABS(D32+B32*'Stock Inputs'!$C$39)/'Stock Inputs'!$C$38-B32/'Stock Inputs'!$C$36),"")</x:f>
      </x:c>
      <x:c r="I32" s="24" t="str">
        <x:f>IF(AND(ISNUMBER(B32),AND(ISNUMBER('Stock Inputs'!$C$41),'Stock Inputs'!$C$41&gt;0,ISNUMBER('Stock Inputs'!$C$42),'Stock Inputs'!$C$42&gt;0,ISNUMBER('Stock Inputs'!$C$43),'Stock Inputs'!$C$43&gt;0),AND(ISNUMBER('Stock Inputs'!$C$44),ISNUMBER('Stock Inputs'!$C$45)),'Stock Inputs'!$C$34="YES"),B32/'Stock Inputs'!$C$41+ABS(C32-B32*'Stock Inputs'!$C$45)/'Stock Inputs'!$C$42+ABS(D32+B32*'Stock Inputs'!$C$44)/'Stock Inputs'!$C$43,"")</x:f>
      </x:c>
      <x:c r="J32" s="24" t="str">
        <x:f>IF(AND(ISNUMBER(B32),AND(ISNUMBER('Stock Inputs'!$C$41),'Stock Inputs'!$C$41&gt;0,ISNUMBER('Stock Inputs'!$C$42),'Stock Inputs'!$C$42&gt;0,ISNUMBER('Stock Inputs'!$C$43),'Stock Inputs'!$C$43&gt;0),AND(ISNUMBER('Stock Inputs'!$C$44),ISNUMBER('Stock Inputs'!$C$45)),'Stock Inputs'!$C$34="YES"),MAX(0,ABS(C32-B32*'Stock Inputs'!$C$45)/'Stock Inputs'!$C$42+ABS(D32+B32*'Stock Inputs'!$C$44)/'Stock Inputs'!$C$43-B32/'Stock Inputs'!$C$41),"")</x:f>
      </x:c>
    </x:row>
    <x:row r="33" ht="28" customHeight="1">
      <x:c r="A33" s="3" t="str">
        <x:v>LC-17</x:v>
      </x:c>
      <x:c r="B33" s="25" t="str">
        <x:f>IF(ISNUMBER('Load Cases'!G23),'Load Cases'!G23,"")</x:f>
      </x:c>
      <x:c r="C33" s="25" t="str">
        <x:f>IF(ISNUMBER('Load Cases'!H23),'Load Cases'!H23,"")</x:f>
      </x:c>
      <x:c r="D33" s="25" t="str">
        <x:f>IF(ISNUMBER('Load Cases'!I23),'Load Cases'!I23,"")</x:f>
      </x:c>
      <x:c r="E33" s="25" t="str">
        <x:f>IF(AND(ISNUMBER(B33),AND(ISNUMBER($B$6),$B$6&gt;0,ISNUMBER($E$6),$E$6&gt;0,ISNUMBER($F$6),$F$6&gt;0)),B33/$B$6+ABS(C33)/$E$6+ABS(D33)/$F$6,"")</x:f>
      </x:c>
      <x:c r="F33" s="25" t="str">
        <x:f>IF(AND(ISNUMBER(B33),AND(ISNUMBER($B$6),$B$6&gt;0,ISNUMBER($E$6),$E$6&gt;0,ISNUMBER($F$6),$F$6&gt;0)),MAX(0,ABS(C33)/$E$6+ABS(D33)/$F$6-B33/$B$6),"")</x:f>
      </x:c>
      <x:c r="G33" s="25" t="str">
        <x:f>IF(AND(ISNUMBER(B33),AND(ISNUMBER('Stock Inputs'!$C$36),'Stock Inputs'!$C$36&gt;0,ISNUMBER('Stock Inputs'!$C$37),'Stock Inputs'!$C$37&gt;0,ISNUMBER('Stock Inputs'!$C$38),'Stock Inputs'!$C$38&gt;0),AND(ISNUMBER('Stock Inputs'!$C$39),ISNUMBER('Stock Inputs'!$C$40)),'Stock Inputs'!$C$34="YES"),B33/'Stock Inputs'!$C$36+ABS(C33-B33*'Stock Inputs'!$C$40)/'Stock Inputs'!$C$37+ABS(D33+B33*'Stock Inputs'!$C$39)/'Stock Inputs'!$C$38,"")</x:f>
      </x:c>
      <x:c r="H33" s="25" t="str">
        <x:f>IF(AND(ISNUMBER(B33),AND(ISNUMBER('Stock Inputs'!$C$36),'Stock Inputs'!$C$36&gt;0,ISNUMBER('Stock Inputs'!$C$37),'Stock Inputs'!$C$37&gt;0,ISNUMBER('Stock Inputs'!$C$38),'Stock Inputs'!$C$38&gt;0),AND(ISNUMBER('Stock Inputs'!$C$39),ISNUMBER('Stock Inputs'!$C$40)),'Stock Inputs'!$C$34="YES"),MAX(0,ABS(C33-B33*'Stock Inputs'!$C$40)/'Stock Inputs'!$C$37+ABS(D33+B33*'Stock Inputs'!$C$39)/'Stock Inputs'!$C$38-B33/'Stock Inputs'!$C$36),"")</x:f>
      </x:c>
      <x:c r="I33" s="25" t="str">
        <x:f>IF(AND(ISNUMBER(B33),AND(ISNUMBER('Stock Inputs'!$C$41),'Stock Inputs'!$C$41&gt;0,ISNUMBER('Stock Inputs'!$C$42),'Stock Inputs'!$C$42&gt;0,ISNUMBER('Stock Inputs'!$C$43),'Stock Inputs'!$C$43&gt;0),AND(ISNUMBER('Stock Inputs'!$C$44),ISNUMBER('Stock Inputs'!$C$45)),'Stock Inputs'!$C$34="YES"),B33/'Stock Inputs'!$C$41+ABS(C33-B33*'Stock Inputs'!$C$45)/'Stock Inputs'!$C$42+ABS(D33+B33*'Stock Inputs'!$C$44)/'Stock Inputs'!$C$43,"")</x:f>
      </x:c>
      <x:c r="J33" s="25" t="str">
        <x:f>IF(AND(ISNUMBER(B33),AND(ISNUMBER('Stock Inputs'!$C$41),'Stock Inputs'!$C$41&gt;0,ISNUMBER('Stock Inputs'!$C$42),'Stock Inputs'!$C$42&gt;0,ISNUMBER('Stock Inputs'!$C$43),'Stock Inputs'!$C$43&gt;0),AND(ISNUMBER('Stock Inputs'!$C$44),ISNUMBER('Stock Inputs'!$C$45)),'Stock Inputs'!$C$34="YES"),MAX(0,ABS(C33-B33*'Stock Inputs'!$C$45)/'Stock Inputs'!$C$42+ABS(D33+B33*'Stock Inputs'!$C$44)/'Stock Inputs'!$C$43-B33/'Stock Inputs'!$C$41),"")</x:f>
      </x:c>
    </x:row>
    <x:row r="34" ht="28" customHeight="1">
      <x:c r="A34" s="9" t="str">
        <x:v>LC-18</x:v>
      </x:c>
      <x:c r="B34" s="24" t="str">
        <x:f>IF(ISNUMBER('Load Cases'!G24),'Load Cases'!G24,"")</x:f>
      </x:c>
      <x:c r="C34" s="24" t="str">
        <x:f>IF(ISNUMBER('Load Cases'!H24),'Load Cases'!H24,"")</x:f>
      </x:c>
      <x:c r="D34" s="24" t="str">
        <x:f>IF(ISNUMBER('Load Cases'!I24),'Load Cases'!I24,"")</x:f>
      </x:c>
      <x:c r="E34" s="24" t="str">
        <x:f>IF(AND(ISNUMBER(B34),AND(ISNUMBER($B$6),$B$6&gt;0,ISNUMBER($E$6),$E$6&gt;0,ISNUMBER($F$6),$F$6&gt;0)),B34/$B$6+ABS(C34)/$E$6+ABS(D34)/$F$6,"")</x:f>
      </x:c>
      <x:c r="F34" s="24" t="str">
        <x:f>IF(AND(ISNUMBER(B34),AND(ISNUMBER($B$6),$B$6&gt;0,ISNUMBER($E$6),$E$6&gt;0,ISNUMBER($F$6),$F$6&gt;0)),MAX(0,ABS(C34)/$E$6+ABS(D34)/$F$6-B34/$B$6),"")</x:f>
      </x:c>
      <x:c r="G34" s="24" t="str">
        <x:f>IF(AND(ISNUMBER(B34),AND(ISNUMBER('Stock Inputs'!$C$36),'Stock Inputs'!$C$36&gt;0,ISNUMBER('Stock Inputs'!$C$37),'Stock Inputs'!$C$37&gt;0,ISNUMBER('Stock Inputs'!$C$38),'Stock Inputs'!$C$38&gt;0),AND(ISNUMBER('Stock Inputs'!$C$39),ISNUMBER('Stock Inputs'!$C$40)),'Stock Inputs'!$C$34="YES"),B34/'Stock Inputs'!$C$36+ABS(C34-B34*'Stock Inputs'!$C$40)/'Stock Inputs'!$C$37+ABS(D34+B34*'Stock Inputs'!$C$39)/'Stock Inputs'!$C$38,"")</x:f>
      </x:c>
      <x:c r="H34" s="24" t="str">
        <x:f>IF(AND(ISNUMBER(B34),AND(ISNUMBER('Stock Inputs'!$C$36),'Stock Inputs'!$C$36&gt;0,ISNUMBER('Stock Inputs'!$C$37),'Stock Inputs'!$C$37&gt;0,ISNUMBER('Stock Inputs'!$C$38),'Stock Inputs'!$C$38&gt;0),AND(ISNUMBER('Stock Inputs'!$C$39),ISNUMBER('Stock Inputs'!$C$40)),'Stock Inputs'!$C$34="YES"),MAX(0,ABS(C34-B34*'Stock Inputs'!$C$40)/'Stock Inputs'!$C$37+ABS(D34+B34*'Stock Inputs'!$C$39)/'Stock Inputs'!$C$38-B34/'Stock Inputs'!$C$36),"")</x:f>
      </x:c>
      <x:c r="I34" s="24" t="str">
        <x:f>IF(AND(ISNUMBER(B34),AND(ISNUMBER('Stock Inputs'!$C$41),'Stock Inputs'!$C$41&gt;0,ISNUMBER('Stock Inputs'!$C$42),'Stock Inputs'!$C$42&gt;0,ISNUMBER('Stock Inputs'!$C$43),'Stock Inputs'!$C$43&gt;0),AND(ISNUMBER('Stock Inputs'!$C$44),ISNUMBER('Stock Inputs'!$C$45)),'Stock Inputs'!$C$34="YES"),B34/'Stock Inputs'!$C$41+ABS(C34-B34*'Stock Inputs'!$C$45)/'Stock Inputs'!$C$42+ABS(D34+B34*'Stock Inputs'!$C$44)/'Stock Inputs'!$C$43,"")</x:f>
      </x:c>
      <x:c r="J34" s="24" t="str">
        <x:f>IF(AND(ISNUMBER(B34),AND(ISNUMBER('Stock Inputs'!$C$41),'Stock Inputs'!$C$41&gt;0,ISNUMBER('Stock Inputs'!$C$42),'Stock Inputs'!$C$42&gt;0,ISNUMBER('Stock Inputs'!$C$43),'Stock Inputs'!$C$43&gt;0),AND(ISNUMBER('Stock Inputs'!$C$44),ISNUMBER('Stock Inputs'!$C$45)),'Stock Inputs'!$C$34="YES"),MAX(0,ABS(C34-B34*'Stock Inputs'!$C$45)/'Stock Inputs'!$C$42+ABS(D34+B34*'Stock Inputs'!$C$44)/'Stock Inputs'!$C$43-B34/'Stock Inputs'!$C$41),"")</x:f>
      </x:c>
    </x:row>
    <x:row r="35" ht="28" customHeight="1">
      <x:c r="A35" s="3" t="str">
        <x:v>LC-19</x:v>
      </x:c>
      <x:c r="B35" s="25" t="str">
        <x:f>IF(ISNUMBER('Load Cases'!G25),'Load Cases'!G25,"")</x:f>
      </x:c>
      <x:c r="C35" s="25" t="str">
        <x:f>IF(ISNUMBER('Load Cases'!H25),'Load Cases'!H25,"")</x:f>
      </x:c>
      <x:c r="D35" s="25" t="str">
        <x:f>IF(ISNUMBER('Load Cases'!I25),'Load Cases'!I25,"")</x:f>
      </x:c>
      <x:c r="E35" s="25" t="str">
        <x:f>IF(AND(ISNUMBER(B35),AND(ISNUMBER($B$6),$B$6&gt;0,ISNUMBER($E$6),$E$6&gt;0,ISNUMBER($F$6),$F$6&gt;0)),B35/$B$6+ABS(C35)/$E$6+ABS(D35)/$F$6,"")</x:f>
      </x:c>
      <x:c r="F35" s="25" t="str">
        <x:f>IF(AND(ISNUMBER(B35),AND(ISNUMBER($B$6),$B$6&gt;0,ISNUMBER($E$6),$E$6&gt;0,ISNUMBER($F$6),$F$6&gt;0)),MAX(0,ABS(C35)/$E$6+ABS(D35)/$F$6-B35/$B$6),"")</x:f>
      </x:c>
      <x:c r="G35" s="25" t="str">
        <x:f>IF(AND(ISNUMBER(B35),AND(ISNUMBER('Stock Inputs'!$C$36),'Stock Inputs'!$C$36&gt;0,ISNUMBER('Stock Inputs'!$C$37),'Stock Inputs'!$C$37&gt;0,ISNUMBER('Stock Inputs'!$C$38),'Stock Inputs'!$C$38&gt;0),AND(ISNUMBER('Stock Inputs'!$C$39),ISNUMBER('Stock Inputs'!$C$40)),'Stock Inputs'!$C$34="YES"),B35/'Stock Inputs'!$C$36+ABS(C35-B35*'Stock Inputs'!$C$40)/'Stock Inputs'!$C$37+ABS(D35+B35*'Stock Inputs'!$C$39)/'Stock Inputs'!$C$38,"")</x:f>
      </x:c>
      <x:c r="H35" s="25" t="str">
        <x:f>IF(AND(ISNUMBER(B35),AND(ISNUMBER('Stock Inputs'!$C$36),'Stock Inputs'!$C$36&gt;0,ISNUMBER('Stock Inputs'!$C$37),'Stock Inputs'!$C$37&gt;0,ISNUMBER('Stock Inputs'!$C$38),'Stock Inputs'!$C$38&gt;0),AND(ISNUMBER('Stock Inputs'!$C$39),ISNUMBER('Stock Inputs'!$C$40)),'Stock Inputs'!$C$34="YES"),MAX(0,ABS(C35-B35*'Stock Inputs'!$C$40)/'Stock Inputs'!$C$37+ABS(D35+B35*'Stock Inputs'!$C$39)/'Stock Inputs'!$C$38-B35/'Stock Inputs'!$C$36),"")</x:f>
      </x:c>
      <x:c r="I35" s="25" t="str">
        <x:f>IF(AND(ISNUMBER(B35),AND(ISNUMBER('Stock Inputs'!$C$41),'Stock Inputs'!$C$41&gt;0,ISNUMBER('Stock Inputs'!$C$42),'Stock Inputs'!$C$42&gt;0,ISNUMBER('Stock Inputs'!$C$43),'Stock Inputs'!$C$43&gt;0),AND(ISNUMBER('Stock Inputs'!$C$44),ISNUMBER('Stock Inputs'!$C$45)),'Stock Inputs'!$C$34="YES"),B35/'Stock Inputs'!$C$41+ABS(C35-B35*'Stock Inputs'!$C$45)/'Stock Inputs'!$C$42+ABS(D35+B35*'Stock Inputs'!$C$44)/'Stock Inputs'!$C$43,"")</x:f>
      </x:c>
      <x:c r="J35" s="25" t="str">
        <x:f>IF(AND(ISNUMBER(B35),AND(ISNUMBER('Stock Inputs'!$C$41),'Stock Inputs'!$C$41&gt;0,ISNUMBER('Stock Inputs'!$C$42),'Stock Inputs'!$C$42&gt;0,ISNUMBER('Stock Inputs'!$C$43),'Stock Inputs'!$C$43&gt;0),AND(ISNUMBER('Stock Inputs'!$C$44),ISNUMBER('Stock Inputs'!$C$45)),'Stock Inputs'!$C$34="YES"),MAX(0,ABS(C35-B35*'Stock Inputs'!$C$45)/'Stock Inputs'!$C$42+ABS(D35+B35*'Stock Inputs'!$C$44)/'Stock Inputs'!$C$43-B35/'Stock Inputs'!$C$41),"")</x:f>
      </x:c>
    </x:row>
    <x:row r="36" ht="28" customHeight="1">
      <x:c r="A36" s="9" t="str">
        <x:v>LC-20</x:v>
      </x:c>
      <x:c r="B36" s="24" t="str">
        <x:f>IF(ISNUMBER('Load Cases'!G26),'Load Cases'!G26,"")</x:f>
      </x:c>
      <x:c r="C36" s="24" t="str">
        <x:f>IF(ISNUMBER('Load Cases'!H26),'Load Cases'!H26,"")</x:f>
      </x:c>
      <x:c r="D36" s="24" t="str">
        <x:f>IF(ISNUMBER('Load Cases'!I26),'Load Cases'!I26,"")</x:f>
      </x:c>
      <x:c r="E36" s="24" t="str">
        <x:f>IF(AND(ISNUMBER(B36),AND(ISNUMBER($B$6),$B$6&gt;0,ISNUMBER($E$6),$E$6&gt;0,ISNUMBER($F$6),$F$6&gt;0)),B36/$B$6+ABS(C36)/$E$6+ABS(D36)/$F$6,"")</x:f>
      </x:c>
      <x:c r="F36" s="24" t="str">
        <x:f>IF(AND(ISNUMBER(B36),AND(ISNUMBER($B$6),$B$6&gt;0,ISNUMBER($E$6),$E$6&gt;0,ISNUMBER($F$6),$F$6&gt;0)),MAX(0,ABS(C36)/$E$6+ABS(D36)/$F$6-B36/$B$6),"")</x:f>
      </x:c>
      <x:c r="G36" s="24" t="str">
        <x:f>IF(AND(ISNUMBER(B36),AND(ISNUMBER('Stock Inputs'!$C$36),'Stock Inputs'!$C$36&gt;0,ISNUMBER('Stock Inputs'!$C$37),'Stock Inputs'!$C$37&gt;0,ISNUMBER('Stock Inputs'!$C$38),'Stock Inputs'!$C$38&gt;0),AND(ISNUMBER('Stock Inputs'!$C$39),ISNUMBER('Stock Inputs'!$C$40)),'Stock Inputs'!$C$34="YES"),B36/'Stock Inputs'!$C$36+ABS(C36-B36*'Stock Inputs'!$C$40)/'Stock Inputs'!$C$37+ABS(D36+B36*'Stock Inputs'!$C$39)/'Stock Inputs'!$C$38,"")</x:f>
      </x:c>
      <x:c r="H36" s="24" t="str">
        <x:f>IF(AND(ISNUMBER(B36),AND(ISNUMBER('Stock Inputs'!$C$36),'Stock Inputs'!$C$36&gt;0,ISNUMBER('Stock Inputs'!$C$37),'Stock Inputs'!$C$37&gt;0,ISNUMBER('Stock Inputs'!$C$38),'Stock Inputs'!$C$38&gt;0),AND(ISNUMBER('Stock Inputs'!$C$39),ISNUMBER('Stock Inputs'!$C$40)),'Stock Inputs'!$C$34="YES"),MAX(0,ABS(C36-B36*'Stock Inputs'!$C$40)/'Stock Inputs'!$C$37+ABS(D36+B36*'Stock Inputs'!$C$39)/'Stock Inputs'!$C$38-B36/'Stock Inputs'!$C$36),"")</x:f>
      </x:c>
      <x:c r="I36" s="24" t="str">
        <x:f>IF(AND(ISNUMBER(B36),AND(ISNUMBER('Stock Inputs'!$C$41),'Stock Inputs'!$C$41&gt;0,ISNUMBER('Stock Inputs'!$C$42),'Stock Inputs'!$C$42&gt;0,ISNUMBER('Stock Inputs'!$C$43),'Stock Inputs'!$C$43&gt;0),AND(ISNUMBER('Stock Inputs'!$C$44),ISNUMBER('Stock Inputs'!$C$45)),'Stock Inputs'!$C$34="YES"),B36/'Stock Inputs'!$C$41+ABS(C36-B36*'Stock Inputs'!$C$45)/'Stock Inputs'!$C$42+ABS(D36+B36*'Stock Inputs'!$C$44)/'Stock Inputs'!$C$43,"")</x:f>
      </x:c>
      <x:c r="J36" s="24" t="str">
        <x:f>IF(AND(ISNUMBER(B36),AND(ISNUMBER('Stock Inputs'!$C$41),'Stock Inputs'!$C$41&gt;0,ISNUMBER('Stock Inputs'!$C$42),'Stock Inputs'!$C$42&gt;0,ISNUMBER('Stock Inputs'!$C$43),'Stock Inputs'!$C$43&gt;0),AND(ISNUMBER('Stock Inputs'!$C$44),ISNUMBER('Stock Inputs'!$C$45)),'Stock Inputs'!$C$34="YES"),MAX(0,ABS(C36-B36*'Stock Inputs'!$C$45)/'Stock Inputs'!$C$42+ABS(D36+B36*'Stock Inputs'!$C$44)/'Stock Inputs'!$C$43-B36/'Stock Inputs'!$C$41),"")</x:f>
      </x:c>
    </x:row>
    <x:row r="37" ht="28" customHeight="1">
      <x:c r="A37" s="3" t="str">
        <x:v>LC-21</x:v>
      </x:c>
      <x:c r="B37" s="25" t="str">
        <x:f>IF(ISNUMBER('Load Cases'!G27),'Load Cases'!G27,"")</x:f>
      </x:c>
      <x:c r="C37" s="25" t="str">
        <x:f>IF(ISNUMBER('Load Cases'!H27),'Load Cases'!H27,"")</x:f>
      </x:c>
      <x:c r="D37" s="25" t="str">
        <x:f>IF(ISNUMBER('Load Cases'!I27),'Load Cases'!I27,"")</x:f>
      </x:c>
      <x:c r="E37" s="25" t="str">
        <x:f>IF(AND(ISNUMBER(B37),AND(ISNUMBER($B$6),$B$6&gt;0,ISNUMBER($E$6),$E$6&gt;0,ISNUMBER($F$6),$F$6&gt;0)),B37/$B$6+ABS(C37)/$E$6+ABS(D37)/$F$6,"")</x:f>
      </x:c>
      <x:c r="F37" s="25" t="str">
        <x:f>IF(AND(ISNUMBER(B37),AND(ISNUMBER($B$6),$B$6&gt;0,ISNUMBER($E$6),$E$6&gt;0,ISNUMBER($F$6),$F$6&gt;0)),MAX(0,ABS(C37)/$E$6+ABS(D37)/$F$6-B37/$B$6),"")</x:f>
      </x:c>
      <x:c r="G37" s="25" t="str">
        <x:f>IF(AND(ISNUMBER(B37),AND(ISNUMBER('Stock Inputs'!$C$36),'Stock Inputs'!$C$36&gt;0,ISNUMBER('Stock Inputs'!$C$37),'Stock Inputs'!$C$37&gt;0,ISNUMBER('Stock Inputs'!$C$38),'Stock Inputs'!$C$38&gt;0),AND(ISNUMBER('Stock Inputs'!$C$39),ISNUMBER('Stock Inputs'!$C$40)),'Stock Inputs'!$C$34="YES"),B37/'Stock Inputs'!$C$36+ABS(C37-B37*'Stock Inputs'!$C$40)/'Stock Inputs'!$C$37+ABS(D37+B37*'Stock Inputs'!$C$39)/'Stock Inputs'!$C$38,"")</x:f>
      </x:c>
      <x:c r="H37" s="25" t="str">
        <x:f>IF(AND(ISNUMBER(B37),AND(ISNUMBER('Stock Inputs'!$C$36),'Stock Inputs'!$C$36&gt;0,ISNUMBER('Stock Inputs'!$C$37),'Stock Inputs'!$C$37&gt;0,ISNUMBER('Stock Inputs'!$C$38),'Stock Inputs'!$C$38&gt;0),AND(ISNUMBER('Stock Inputs'!$C$39),ISNUMBER('Stock Inputs'!$C$40)),'Stock Inputs'!$C$34="YES"),MAX(0,ABS(C37-B37*'Stock Inputs'!$C$40)/'Stock Inputs'!$C$37+ABS(D37+B37*'Stock Inputs'!$C$39)/'Stock Inputs'!$C$38-B37/'Stock Inputs'!$C$36),"")</x:f>
      </x:c>
      <x:c r="I37" s="25" t="str">
        <x:f>IF(AND(ISNUMBER(B37),AND(ISNUMBER('Stock Inputs'!$C$41),'Stock Inputs'!$C$41&gt;0,ISNUMBER('Stock Inputs'!$C$42),'Stock Inputs'!$C$42&gt;0,ISNUMBER('Stock Inputs'!$C$43),'Stock Inputs'!$C$43&gt;0),AND(ISNUMBER('Stock Inputs'!$C$44),ISNUMBER('Stock Inputs'!$C$45)),'Stock Inputs'!$C$34="YES"),B37/'Stock Inputs'!$C$41+ABS(C37-B37*'Stock Inputs'!$C$45)/'Stock Inputs'!$C$42+ABS(D37+B37*'Stock Inputs'!$C$44)/'Stock Inputs'!$C$43,"")</x:f>
      </x:c>
      <x:c r="J37" s="25" t="str">
        <x:f>IF(AND(ISNUMBER(B37),AND(ISNUMBER('Stock Inputs'!$C$41),'Stock Inputs'!$C$41&gt;0,ISNUMBER('Stock Inputs'!$C$42),'Stock Inputs'!$C$42&gt;0,ISNUMBER('Stock Inputs'!$C$43),'Stock Inputs'!$C$43&gt;0),AND(ISNUMBER('Stock Inputs'!$C$44),ISNUMBER('Stock Inputs'!$C$45)),'Stock Inputs'!$C$34="YES"),MAX(0,ABS(C37-B37*'Stock Inputs'!$C$45)/'Stock Inputs'!$C$42+ABS(D37+B37*'Stock Inputs'!$C$44)/'Stock Inputs'!$C$43-B37/'Stock Inputs'!$C$41),"")</x:f>
      </x:c>
    </x:row>
    <x:row r="38" ht="28" customHeight="1">
      <x:c r="A38" s="9" t="str">
        <x:v>LC-22</x:v>
      </x:c>
      <x:c r="B38" s="24" t="str">
        <x:f>IF(ISNUMBER('Load Cases'!G28),'Load Cases'!G28,"")</x:f>
      </x:c>
      <x:c r="C38" s="24" t="str">
        <x:f>IF(ISNUMBER('Load Cases'!H28),'Load Cases'!H28,"")</x:f>
      </x:c>
      <x:c r="D38" s="24" t="str">
        <x:f>IF(ISNUMBER('Load Cases'!I28),'Load Cases'!I28,"")</x:f>
      </x:c>
      <x:c r="E38" s="24" t="str">
        <x:f>IF(AND(ISNUMBER(B38),AND(ISNUMBER($B$6),$B$6&gt;0,ISNUMBER($E$6),$E$6&gt;0,ISNUMBER($F$6),$F$6&gt;0)),B38/$B$6+ABS(C38)/$E$6+ABS(D38)/$F$6,"")</x:f>
      </x:c>
      <x:c r="F38" s="24" t="str">
        <x:f>IF(AND(ISNUMBER(B38),AND(ISNUMBER($B$6),$B$6&gt;0,ISNUMBER($E$6),$E$6&gt;0,ISNUMBER($F$6),$F$6&gt;0)),MAX(0,ABS(C38)/$E$6+ABS(D38)/$F$6-B38/$B$6),"")</x:f>
      </x:c>
      <x:c r="G38" s="24" t="str">
        <x:f>IF(AND(ISNUMBER(B38),AND(ISNUMBER('Stock Inputs'!$C$36),'Stock Inputs'!$C$36&gt;0,ISNUMBER('Stock Inputs'!$C$37),'Stock Inputs'!$C$37&gt;0,ISNUMBER('Stock Inputs'!$C$38),'Stock Inputs'!$C$38&gt;0),AND(ISNUMBER('Stock Inputs'!$C$39),ISNUMBER('Stock Inputs'!$C$40)),'Stock Inputs'!$C$34="YES"),B38/'Stock Inputs'!$C$36+ABS(C38-B38*'Stock Inputs'!$C$40)/'Stock Inputs'!$C$37+ABS(D38+B38*'Stock Inputs'!$C$39)/'Stock Inputs'!$C$38,"")</x:f>
      </x:c>
      <x:c r="H38" s="24" t="str">
        <x:f>IF(AND(ISNUMBER(B38),AND(ISNUMBER('Stock Inputs'!$C$36),'Stock Inputs'!$C$36&gt;0,ISNUMBER('Stock Inputs'!$C$37),'Stock Inputs'!$C$37&gt;0,ISNUMBER('Stock Inputs'!$C$38),'Stock Inputs'!$C$38&gt;0),AND(ISNUMBER('Stock Inputs'!$C$39),ISNUMBER('Stock Inputs'!$C$40)),'Stock Inputs'!$C$34="YES"),MAX(0,ABS(C38-B38*'Stock Inputs'!$C$40)/'Stock Inputs'!$C$37+ABS(D38+B38*'Stock Inputs'!$C$39)/'Stock Inputs'!$C$38-B38/'Stock Inputs'!$C$36),"")</x:f>
      </x:c>
      <x:c r="I38" s="24" t="str">
        <x:f>IF(AND(ISNUMBER(B38),AND(ISNUMBER('Stock Inputs'!$C$41),'Stock Inputs'!$C$41&gt;0,ISNUMBER('Stock Inputs'!$C$42),'Stock Inputs'!$C$42&gt;0,ISNUMBER('Stock Inputs'!$C$43),'Stock Inputs'!$C$43&gt;0),AND(ISNUMBER('Stock Inputs'!$C$44),ISNUMBER('Stock Inputs'!$C$45)),'Stock Inputs'!$C$34="YES"),B38/'Stock Inputs'!$C$41+ABS(C38-B38*'Stock Inputs'!$C$45)/'Stock Inputs'!$C$42+ABS(D38+B38*'Stock Inputs'!$C$44)/'Stock Inputs'!$C$43,"")</x:f>
      </x:c>
      <x:c r="J38" s="24" t="str">
        <x:f>IF(AND(ISNUMBER(B38),AND(ISNUMBER('Stock Inputs'!$C$41),'Stock Inputs'!$C$41&gt;0,ISNUMBER('Stock Inputs'!$C$42),'Stock Inputs'!$C$42&gt;0,ISNUMBER('Stock Inputs'!$C$43),'Stock Inputs'!$C$43&gt;0),AND(ISNUMBER('Stock Inputs'!$C$44),ISNUMBER('Stock Inputs'!$C$45)),'Stock Inputs'!$C$34="YES"),MAX(0,ABS(C38-B38*'Stock Inputs'!$C$45)/'Stock Inputs'!$C$42+ABS(D38+B38*'Stock Inputs'!$C$44)/'Stock Inputs'!$C$43-B38/'Stock Inputs'!$C$41),"")</x:f>
      </x:c>
    </x:row>
    <x:row r="39" ht="28" customHeight="1">
      <x:c r="A39" s="3" t="str">
        <x:v>LC-23</x:v>
      </x:c>
      <x:c r="B39" s="25" t="str">
        <x:f>IF(ISNUMBER('Load Cases'!G29),'Load Cases'!G29,"")</x:f>
      </x:c>
      <x:c r="C39" s="25" t="str">
        <x:f>IF(ISNUMBER('Load Cases'!H29),'Load Cases'!H29,"")</x:f>
      </x:c>
      <x:c r="D39" s="25" t="str">
        <x:f>IF(ISNUMBER('Load Cases'!I29),'Load Cases'!I29,"")</x:f>
      </x:c>
      <x:c r="E39" s="25" t="str">
        <x:f>IF(AND(ISNUMBER(B39),AND(ISNUMBER($B$6),$B$6&gt;0,ISNUMBER($E$6),$E$6&gt;0,ISNUMBER($F$6),$F$6&gt;0)),B39/$B$6+ABS(C39)/$E$6+ABS(D39)/$F$6,"")</x:f>
      </x:c>
      <x:c r="F39" s="25" t="str">
        <x:f>IF(AND(ISNUMBER(B39),AND(ISNUMBER($B$6),$B$6&gt;0,ISNUMBER($E$6),$E$6&gt;0,ISNUMBER($F$6),$F$6&gt;0)),MAX(0,ABS(C39)/$E$6+ABS(D39)/$F$6-B39/$B$6),"")</x:f>
      </x:c>
      <x:c r="G39" s="25" t="str">
        <x:f>IF(AND(ISNUMBER(B39),AND(ISNUMBER('Stock Inputs'!$C$36),'Stock Inputs'!$C$36&gt;0,ISNUMBER('Stock Inputs'!$C$37),'Stock Inputs'!$C$37&gt;0,ISNUMBER('Stock Inputs'!$C$38),'Stock Inputs'!$C$38&gt;0),AND(ISNUMBER('Stock Inputs'!$C$39),ISNUMBER('Stock Inputs'!$C$40)),'Stock Inputs'!$C$34="YES"),B39/'Stock Inputs'!$C$36+ABS(C39-B39*'Stock Inputs'!$C$40)/'Stock Inputs'!$C$37+ABS(D39+B39*'Stock Inputs'!$C$39)/'Stock Inputs'!$C$38,"")</x:f>
      </x:c>
      <x:c r="H39" s="25" t="str">
        <x:f>IF(AND(ISNUMBER(B39),AND(ISNUMBER('Stock Inputs'!$C$36),'Stock Inputs'!$C$36&gt;0,ISNUMBER('Stock Inputs'!$C$37),'Stock Inputs'!$C$37&gt;0,ISNUMBER('Stock Inputs'!$C$38),'Stock Inputs'!$C$38&gt;0),AND(ISNUMBER('Stock Inputs'!$C$39),ISNUMBER('Stock Inputs'!$C$40)),'Stock Inputs'!$C$34="YES"),MAX(0,ABS(C39-B39*'Stock Inputs'!$C$40)/'Stock Inputs'!$C$37+ABS(D39+B39*'Stock Inputs'!$C$39)/'Stock Inputs'!$C$38-B39/'Stock Inputs'!$C$36),"")</x:f>
      </x:c>
      <x:c r="I39" s="25" t="str">
        <x:f>IF(AND(ISNUMBER(B39),AND(ISNUMBER('Stock Inputs'!$C$41),'Stock Inputs'!$C$41&gt;0,ISNUMBER('Stock Inputs'!$C$42),'Stock Inputs'!$C$42&gt;0,ISNUMBER('Stock Inputs'!$C$43),'Stock Inputs'!$C$43&gt;0),AND(ISNUMBER('Stock Inputs'!$C$44),ISNUMBER('Stock Inputs'!$C$45)),'Stock Inputs'!$C$34="YES"),B39/'Stock Inputs'!$C$41+ABS(C39-B39*'Stock Inputs'!$C$45)/'Stock Inputs'!$C$42+ABS(D39+B39*'Stock Inputs'!$C$44)/'Stock Inputs'!$C$43,"")</x:f>
      </x:c>
      <x:c r="J39" s="25" t="str">
        <x:f>IF(AND(ISNUMBER(B39),AND(ISNUMBER('Stock Inputs'!$C$41),'Stock Inputs'!$C$41&gt;0,ISNUMBER('Stock Inputs'!$C$42),'Stock Inputs'!$C$42&gt;0,ISNUMBER('Stock Inputs'!$C$43),'Stock Inputs'!$C$43&gt;0),AND(ISNUMBER('Stock Inputs'!$C$44),ISNUMBER('Stock Inputs'!$C$45)),'Stock Inputs'!$C$34="YES"),MAX(0,ABS(C39-B39*'Stock Inputs'!$C$45)/'Stock Inputs'!$C$42+ABS(D39+B39*'Stock Inputs'!$C$44)/'Stock Inputs'!$C$43-B39/'Stock Inputs'!$C$41),"")</x:f>
      </x:c>
    </x:row>
    <x:row r="40" ht="28" customHeight="1">
      <x:c r="A40" s="9" t="str">
        <x:v>LC-24</x:v>
      </x:c>
      <x:c r="B40" s="24" t="str">
        <x:f>IF(ISNUMBER('Load Cases'!G30),'Load Cases'!G30,"")</x:f>
      </x:c>
      <x:c r="C40" s="24" t="str">
        <x:f>IF(ISNUMBER('Load Cases'!H30),'Load Cases'!H30,"")</x:f>
      </x:c>
      <x:c r="D40" s="24" t="str">
        <x:f>IF(ISNUMBER('Load Cases'!I30),'Load Cases'!I30,"")</x:f>
      </x:c>
      <x:c r="E40" s="24" t="str">
        <x:f>IF(AND(ISNUMBER(B40),AND(ISNUMBER($B$6),$B$6&gt;0,ISNUMBER($E$6),$E$6&gt;0,ISNUMBER($F$6),$F$6&gt;0)),B40/$B$6+ABS(C40)/$E$6+ABS(D40)/$F$6,"")</x:f>
      </x:c>
      <x:c r="F40" s="24" t="str">
        <x:f>IF(AND(ISNUMBER(B40),AND(ISNUMBER($B$6),$B$6&gt;0,ISNUMBER($E$6),$E$6&gt;0,ISNUMBER($F$6),$F$6&gt;0)),MAX(0,ABS(C40)/$E$6+ABS(D40)/$F$6-B40/$B$6),"")</x:f>
      </x:c>
      <x:c r="G40" s="24" t="str">
        <x:f>IF(AND(ISNUMBER(B40),AND(ISNUMBER('Stock Inputs'!$C$36),'Stock Inputs'!$C$36&gt;0,ISNUMBER('Stock Inputs'!$C$37),'Stock Inputs'!$C$37&gt;0,ISNUMBER('Stock Inputs'!$C$38),'Stock Inputs'!$C$38&gt;0),AND(ISNUMBER('Stock Inputs'!$C$39),ISNUMBER('Stock Inputs'!$C$40)),'Stock Inputs'!$C$34="YES"),B40/'Stock Inputs'!$C$36+ABS(C40-B40*'Stock Inputs'!$C$40)/'Stock Inputs'!$C$37+ABS(D40+B40*'Stock Inputs'!$C$39)/'Stock Inputs'!$C$38,"")</x:f>
      </x:c>
      <x:c r="H40" s="24" t="str">
        <x:f>IF(AND(ISNUMBER(B40),AND(ISNUMBER('Stock Inputs'!$C$36),'Stock Inputs'!$C$36&gt;0,ISNUMBER('Stock Inputs'!$C$37),'Stock Inputs'!$C$37&gt;0,ISNUMBER('Stock Inputs'!$C$38),'Stock Inputs'!$C$38&gt;0),AND(ISNUMBER('Stock Inputs'!$C$39),ISNUMBER('Stock Inputs'!$C$40)),'Stock Inputs'!$C$34="YES"),MAX(0,ABS(C40-B40*'Stock Inputs'!$C$40)/'Stock Inputs'!$C$37+ABS(D40+B40*'Stock Inputs'!$C$39)/'Stock Inputs'!$C$38-B40/'Stock Inputs'!$C$36),"")</x:f>
      </x:c>
      <x:c r="I40" s="24" t="str">
        <x:f>IF(AND(ISNUMBER(B40),AND(ISNUMBER('Stock Inputs'!$C$41),'Stock Inputs'!$C$41&gt;0,ISNUMBER('Stock Inputs'!$C$42),'Stock Inputs'!$C$42&gt;0,ISNUMBER('Stock Inputs'!$C$43),'Stock Inputs'!$C$43&gt;0),AND(ISNUMBER('Stock Inputs'!$C$44),ISNUMBER('Stock Inputs'!$C$45)),'Stock Inputs'!$C$34="YES"),B40/'Stock Inputs'!$C$41+ABS(C40-B40*'Stock Inputs'!$C$45)/'Stock Inputs'!$C$42+ABS(D40+B40*'Stock Inputs'!$C$44)/'Stock Inputs'!$C$43,"")</x:f>
      </x:c>
      <x:c r="J40" s="24" t="str">
        <x:f>IF(AND(ISNUMBER(B40),AND(ISNUMBER('Stock Inputs'!$C$41),'Stock Inputs'!$C$41&gt;0,ISNUMBER('Stock Inputs'!$C$42),'Stock Inputs'!$C$42&gt;0,ISNUMBER('Stock Inputs'!$C$43),'Stock Inputs'!$C$43&gt;0),AND(ISNUMBER('Stock Inputs'!$C$44),ISNUMBER('Stock Inputs'!$C$45)),'Stock Inputs'!$C$34="YES"),MAX(0,ABS(C40-B40*'Stock Inputs'!$C$45)/'Stock Inputs'!$C$42+ABS(D40+B40*'Stock Inputs'!$C$44)/'Stock Inputs'!$C$43-B40/'Stock Inputs'!$C$41),"")</x:f>
      </x:c>
    </x:row>
    <x:row r="41" ht="28" customHeight="1">
      <x:c r="A41" s="3" t="str">
        <x:v>LC-25</x:v>
      </x:c>
      <x:c r="B41" s="25" t="str">
        <x:f>IF(ISNUMBER('Load Cases'!G31),'Load Cases'!G31,"")</x:f>
      </x:c>
      <x:c r="C41" s="25" t="str">
        <x:f>IF(ISNUMBER('Load Cases'!H31),'Load Cases'!H31,"")</x:f>
      </x:c>
      <x:c r="D41" s="25" t="str">
        <x:f>IF(ISNUMBER('Load Cases'!I31),'Load Cases'!I31,"")</x:f>
      </x:c>
      <x:c r="E41" s="25" t="str">
        <x:f>IF(AND(ISNUMBER(B41),AND(ISNUMBER($B$6),$B$6&gt;0,ISNUMBER($E$6),$E$6&gt;0,ISNUMBER($F$6),$F$6&gt;0)),B41/$B$6+ABS(C41)/$E$6+ABS(D41)/$F$6,"")</x:f>
      </x:c>
      <x:c r="F41" s="25" t="str">
        <x:f>IF(AND(ISNUMBER(B41),AND(ISNUMBER($B$6),$B$6&gt;0,ISNUMBER($E$6),$E$6&gt;0,ISNUMBER($F$6),$F$6&gt;0)),MAX(0,ABS(C41)/$E$6+ABS(D41)/$F$6-B41/$B$6),"")</x:f>
      </x:c>
      <x:c r="G41" s="25" t="str">
        <x:f>IF(AND(ISNUMBER(B41),AND(ISNUMBER('Stock Inputs'!$C$36),'Stock Inputs'!$C$36&gt;0,ISNUMBER('Stock Inputs'!$C$37),'Stock Inputs'!$C$37&gt;0,ISNUMBER('Stock Inputs'!$C$38),'Stock Inputs'!$C$38&gt;0),AND(ISNUMBER('Stock Inputs'!$C$39),ISNUMBER('Stock Inputs'!$C$40)),'Stock Inputs'!$C$34="YES"),B41/'Stock Inputs'!$C$36+ABS(C41-B41*'Stock Inputs'!$C$40)/'Stock Inputs'!$C$37+ABS(D41+B41*'Stock Inputs'!$C$39)/'Stock Inputs'!$C$38,"")</x:f>
      </x:c>
      <x:c r="H41" s="25" t="str">
        <x:f>IF(AND(ISNUMBER(B41),AND(ISNUMBER('Stock Inputs'!$C$36),'Stock Inputs'!$C$36&gt;0,ISNUMBER('Stock Inputs'!$C$37),'Stock Inputs'!$C$37&gt;0,ISNUMBER('Stock Inputs'!$C$38),'Stock Inputs'!$C$38&gt;0),AND(ISNUMBER('Stock Inputs'!$C$39),ISNUMBER('Stock Inputs'!$C$40)),'Stock Inputs'!$C$34="YES"),MAX(0,ABS(C41-B41*'Stock Inputs'!$C$40)/'Stock Inputs'!$C$37+ABS(D41+B41*'Stock Inputs'!$C$39)/'Stock Inputs'!$C$38-B41/'Stock Inputs'!$C$36),"")</x:f>
      </x:c>
      <x:c r="I41" s="25" t="str">
        <x:f>IF(AND(ISNUMBER(B41),AND(ISNUMBER('Stock Inputs'!$C$41),'Stock Inputs'!$C$41&gt;0,ISNUMBER('Stock Inputs'!$C$42),'Stock Inputs'!$C$42&gt;0,ISNUMBER('Stock Inputs'!$C$43),'Stock Inputs'!$C$43&gt;0),AND(ISNUMBER('Stock Inputs'!$C$44),ISNUMBER('Stock Inputs'!$C$45)),'Stock Inputs'!$C$34="YES"),B41/'Stock Inputs'!$C$41+ABS(C41-B41*'Stock Inputs'!$C$45)/'Stock Inputs'!$C$42+ABS(D41+B41*'Stock Inputs'!$C$44)/'Stock Inputs'!$C$43,"")</x:f>
      </x:c>
      <x:c r="J41" s="25" t="str">
        <x:f>IF(AND(ISNUMBER(B41),AND(ISNUMBER('Stock Inputs'!$C$41),'Stock Inputs'!$C$41&gt;0,ISNUMBER('Stock Inputs'!$C$42),'Stock Inputs'!$C$42&gt;0,ISNUMBER('Stock Inputs'!$C$43),'Stock Inputs'!$C$43&gt;0),AND(ISNUMBER('Stock Inputs'!$C$44),ISNUMBER('Stock Inputs'!$C$45)),'Stock Inputs'!$C$34="YES"),MAX(0,ABS(C41-B41*'Stock Inputs'!$C$45)/'Stock Inputs'!$C$42+ABS(D41+B41*'Stock Inputs'!$C$44)/'Stock Inputs'!$C$43-B41/'Stock Inputs'!$C$41),"")</x:f>
      </x:c>
    </x:row>
    <x:row r="42" ht="28" customHeight="1">
      <x:c r="A42" s="9" t="str">
        <x:v>LC-26</x:v>
      </x:c>
      <x:c r="B42" s="24" t="str">
        <x:f>IF(ISNUMBER('Load Cases'!G32),'Load Cases'!G32,"")</x:f>
      </x:c>
      <x:c r="C42" s="24" t="str">
        <x:f>IF(ISNUMBER('Load Cases'!H32),'Load Cases'!H32,"")</x:f>
      </x:c>
      <x:c r="D42" s="24" t="str">
        <x:f>IF(ISNUMBER('Load Cases'!I32),'Load Cases'!I32,"")</x:f>
      </x:c>
      <x:c r="E42" s="24" t="str">
        <x:f>IF(AND(ISNUMBER(B42),AND(ISNUMBER($B$6),$B$6&gt;0,ISNUMBER($E$6),$E$6&gt;0,ISNUMBER($F$6),$F$6&gt;0)),B42/$B$6+ABS(C42)/$E$6+ABS(D42)/$F$6,"")</x:f>
      </x:c>
      <x:c r="F42" s="24" t="str">
        <x:f>IF(AND(ISNUMBER(B42),AND(ISNUMBER($B$6),$B$6&gt;0,ISNUMBER($E$6),$E$6&gt;0,ISNUMBER($F$6),$F$6&gt;0)),MAX(0,ABS(C42)/$E$6+ABS(D42)/$F$6-B42/$B$6),"")</x:f>
      </x:c>
      <x:c r="G42" s="24" t="str">
        <x:f>IF(AND(ISNUMBER(B42),AND(ISNUMBER('Stock Inputs'!$C$36),'Stock Inputs'!$C$36&gt;0,ISNUMBER('Stock Inputs'!$C$37),'Stock Inputs'!$C$37&gt;0,ISNUMBER('Stock Inputs'!$C$38),'Stock Inputs'!$C$38&gt;0),AND(ISNUMBER('Stock Inputs'!$C$39),ISNUMBER('Stock Inputs'!$C$40)),'Stock Inputs'!$C$34="YES"),B42/'Stock Inputs'!$C$36+ABS(C42-B42*'Stock Inputs'!$C$40)/'Stock Inputs'!$C$37+ABS(D42+B42*'Stock Inputs'!$C$39)/'Stock Inputs'!$C$38,"")</x:f>
      </x:c>
      <x:c r="H42" s="24" t="str">
        <x:f>IF(AND(ISNUMBER(B42),AND(ISNUMBER('Stock Inputs'!$C$36),'Stock Inputs'!$C$36&gt;0,ISNUMBER('Stock Inputs'!$C$37),'Stock Inputs'!$C$37&gt;0,ISNUMBER('Stock Inputs'!$C$38),'Stock Inputs'!$C$38&gt;0),AND(ISNUMBER('Stock Inputs'!$C$39),ISNUMBER('Stock Inputs'!$C$40)),'Stock Inputs'!$C$34="YES"),MAX(0,ABS(C42-B42*'Stock Inputs'!$C$40)/'Stock Inputs'!$C$37+ABS(D42+B42*'Stock Inputs'!$C$39)/'Stock Inputs'!$C$38-B42/'Stock Inputs'!$C$36),"")</x:f>
      </x:c>
      <x:c r="I42" s="24" t="str">
        <x:f>IF(AND(ISNUMBER(B42),AND(ISNUMBER('Stock Inputs'!$C$41),'Stock Inputs'!$C$41&gt;0,ISNUMBER('Stock Inputs'!$C$42),'Stock Inputs'!$C$42&gt;0,ISNUMBER('Stock Inputs'!$C$43),'Stock Inputs'!$C$43&gt;0),AND(ISNUMBER('Stock Inputs'!$C$44),ISNUMBER('Stock Inputs'!$C$45)),'Stock Inputs'!$C$34="YES"),B42/'Stock Inputs'!$C$41+ABS(C42-B42*'Stock Inputs'!$C$45)/'Stock Inputs'!$C$42+ABS(D42+B42*'Stock Inputs'!$C$44)/'Stock Inputs'!$C$43,"")</x:f>
      </x:c>
      <x:c r="J42" s="24" t="str">
        <x:f>IF(AND(ISNUMBER(B42),AND(ISNUMBER('Stock Inputs'!$C$41),'Stock Inputs'!$C$41&gt;0,ISNUMBER('Stock Inputs'!$C$42),'Stock Inputs'!$C$42&gt;0,ISNUMBER('Stock Inputs'!$C$43),'Stock Inputs'!$C$43&gt;0),AND(ISNUMBER('Stock Inputs'!$C$44),ISNUMBER('Stock Inputs'!$C$45)),'Stock Inputs'!$C$34="YES"),MAX(0,ABS(C42-B42*'Stock Inputs'!$C$45)/'Stock Inputs'!$C$42+ABS(D42+B42*'Stock Inputs'!$C$44)/'Stock Inputs'!$C$43-B42/'Stock Inputs'!$C$41),"")</x:f>
      </x:c>
    </x:row>
    <x:row r="43" ht="28" customHeight="1">
      <x:c r="A43" s="3" t="str">
        <x:v>LC-27</x:v>
      </x:c>
      <x:c r="B43" s="25" t="str">
        <x:f>IF(ISNUMBER('Load Cases'!G33),'Load Cases'!G33,"")</x:f>
      </x:c>
      <x:c r="C43" s="25" t="str">
        <x:f>IF(ISNUMBER('Load Cases'!H33),'Load Cases'!H33,"")</x:f>
      </x:c>
      <x:c r="D43" s="25" t="str">
        <x:f>IF(ISNUMBER('Load Cases'!I33),'Load Cases'!I33,"")</x:f>
      </x:c>
      <x:c r="E43" s="25" t="str">
        <x:f>IF(AND(ISNUMBER(B43),AND(ISNUMBER($B$6),$B$6&gt;0,ISNUMBER($E$6),$E$6&gt;0,ISNUMBER($F$6),$F$6&gt;0)),B43/$B$6+ABS(C43)/$E$6+ABS(D43)/$F$6,"")</x:f>
      </x:c>
      <x:c r="F43" s="25" t="str">
        <x:f>IF(AND(ISNUMBER(B43),AND(ISNUMBER($B$6),$B$6&gt;0,ISNUMBER($E$6),$E$6&gt;0,ISNUMBER($F$6),$F$6&gt;0)),MAX(0,ABS(C43)/$E$6+ABS(D43)/$F$6-B43/$B$6),"")</x:f>
      </x:c>
      <x:c r="G43" s="25" t="str">
        <x:f>IF(AND(ISNUMBER(B43),AND(ISNUMBER('Stock Inputs'!$C$36),'Stock Inputs'!$C$36&gt;0,ISNUMBER('Stock Inputs'!$C$37),'Stock Inputs'!$C$37&gt;0,ISNUMBER('Stock Inputs'!$C$38),'Stock Inputs'!$C$38&gt;0),AND(ISNUMBER('Stock Inputs'!$C$39),ISNUMBER('Stock Inputs'!$C$40)),'Stock Inputs'!$C$34="YES"),B43/'Stock Inputs'!$C$36+ABS(C43-B43*'Stock Inputs'!$C$40)/'Stock Inputs'!$C$37+ABS(D43+B43*'Stock Inputs'!$C$39)/'Stock Inputs'!$C$38,"")</x:f>
      </x:c>
      <x:c r="H43" s="25" t="str">
        <x:f>IF(AND(ISNUMBER(B43),AND(ISNUMBER('Stock Inputs'!$C$36),'Stock Inputs'!$C$36&gt;0,ISNUMBER('Stock Inputs'!$C$37),'Stock Inputs'!$C$37&gt;0,ISNUMBER('Stock Inputs'!$C$38),'Stock Inputs'!$C$38&gt;0),AND(ISNUMBER('Stock Inputs'!$C$39),ISNUMBER('Stock Inputs'!$C$40)),'Stock Inputs'!$C$34="YES"),MAX(0,ABS(C43-B43*'Stock Inputs'!$C$40)/'Stock Inputs'!$C$37+ABS(D43+B43*'Stock Inputs'!$C$39)/'Stock Inputs'!$C$38-B43/'Stock Inputs'!$C$36),"")</x:f>
      </x:c>
      <x:c r="I43" s="25" t="str">
        <x:f>IF(AND(ISNUMBER(B43),AND(ISNUMBER('Stock Inputs'!$C$41),'Stock Inputs'!$C$41&gt;0,ISNUMBER('Stock Inputs'!$C$42),'Stock Inputs'!$C$42&gt;0,ISNUMBER('Stock Inputs'!$C$43),'Stock Inputs'!$C$43&gt;0),AND(ISNUMBER('Stock Inputs'!$C$44),ISNUMBER('Stock Inputs'!$C$45)),'Stock Inputs'!$C$34="YES"),B43/'Stock Inputs'!$C$41+ABS(C43-B43*'Stock Inputs'!$C$45)/'Stock Inputs'!$C$42+ABS(D43+B43*'Stock Inputs'!$C$44)/'Stock Inputs'!$C$43,"")</x:f>
      </x:c>
      <x:c r="J43" s="25" t="str">
        <x:f>IF(AND(ISNUMBER(B43),AND(ISNUMBER('Stock Inputs'!$C$41),'Stock Inputs'!$C$41&gt;0,ISNUMBER('Stock Inputs'!$C$42),'Stock Inputs'!$C$42&gt;0,ISNUMBER('Stock Inputs'!$C$43),'Stock Inputs'!$C$43&gt;0),AND(ISNUMBER('Stock Inputs'!$C$44),ISNUMBER('Stock Inputs'!$C$45)),'Stock Inputs'!$C$34="YES"),MAX(0,ABS(C43-B43*'Stock Inputs'!$C$45)/'Stock Inputs'!$C$42+ABS(D43+B43*'Stock Inputs'!$C$44)/'Stock Inputs'!$C$43-B43/'Stock Inputs'!$C$41),"")</x:f>
      </x:c>
    </x:row>
    <x:row r="44" ht="28" customHeight="1">
      <x:c r="A44" s="9" t="str">
        <x:v>LC-28</x:v>
      </x:c>
      <x:c r="B44" s="24" t="str">
        <x:f>IF(ISNUMBER('Load Cases'!G34),'Load Cases'!G34,"")</x:f>
      </x:c>
      <x:c r="C44" s="24" t="str">
        <x:f>IF(ISNUMBER('Load Cases'!H34),'Load Cases'!H34,"")</x:f>
      </x:c>
      <x:c r="D44" s="24" t="str">
        <x:f>IF(ISNUMBER('Load Cases'!I34),'Load Cases'!I34,"")</x:f>
      </x:c>
      <x:c r="E44" s="24" t="str">
        <x:f>IF(AND(ISNUMBER(B44),AND(ISNUMBER($B$6),$B$6&gt;0,ISNUMBER($E$6),$E$6&gt;0,ISNUMBER($F$6),$F$6&gt;0)),B44/$B$6+ABS(C44)/$E$6+ABS(D44)/$F$6,"")</x:f>
      </x:c>
      <x:c r="F44" s="24" t="str">
        <x:f>IF(AND(ISNUMBER(B44),AND(ISNUMBER($B$6),$B$6&gt;0,ISNUMBER($E$6),$E$6&gt;0,ISNUMBER($F$6),$F$6&gt;0)),MAX(0,ABS(C44)/$E$6+ABS(D44)/$F$6-B44/$B$6),"")</x:f>
      </x:c>
      <x:c r="G44" s="24" t="str">
        <x:f>IF(AND(ISNUMBER(B44),AND(ISNUMBER('Stock Inputs'!$C$36),'Stock Inputs'!$C$36&gt;0,ISNUMBER('Stock Inputs'!$C$37),'Stock Inputs'!$C$37&gt;0,ISNUMBER('Stock Inputs'!$C$38),'Stock Inputs'!$C$38&gt;0),AND(ISNUMBER('Stock Inputs'!$C$39),ISNUMBER('Stock Inputs'!$C$40)),'Stock Inputs'!$C$34="YES"),B44/'Stock Inputs'!$C$36+ABS(C44-B44*'Stock Inputs'!$C$40)/'Stock Inputs'!$C$37+ABS(D44+B44*'Stock Inputs'!$C$39)/'Stock Inputs'!$C$38,"")</x:f>
      </x:c>
      <x:c r="H44" s="24" t="str">
        <x:f>IF(AND(ISNUMBER(B44),AND(ISNUMBER('Stock Inputs'!$C$36),'Stock Inputs'!$C$36&gt;0,ISNUMBER('Stock Inputs'!$C$37),'Stock Inputs'!$C$37&gt;0,ISNUMBER('Stock Inputs'!$C$38),'Stock Inputs'!$C$38&gt;0),AND(ISNUMBER('Stock Inputs'!$C$39),ISNUMBER('Stock Inputs'!$C$40)),'Stock Inputs'!$C$34="YES"),MAX(0,ABS(C44-B44*'Stock Inputs'!$C$40)/'Stock Inputs'!$C$37+ABS(D44+B44*'Stock Inputs'!$C$39)/'Stock Inputs'!$C$38-B44/'Stock Inputs'!$C$36),"")</x:f>
      </x:c>
      <x:c r="I44" s="24" t="str">
        <x:f>IF(AND(ISNUMBER(B44),AND(ISNUMBER('Stock Inputs'!$C$41),'Stock Inputs'!$C$41&gt;0,ISNUMBER('Stock Inputs'!$C$42),'Stock Inputs'!$C$42&gt;0,ISNUMBER('Stock Inputs'!$C$43),'Stock Inputs'!$C$43&gt;0),AND(ISNUMBER('Stock Inputs'!$C$44),ISNUMBER('Stock Inputs'!$C$45)),'Stock Inputs'!$C$34="YES"),B44/'Stock Inputs'!$C$41+ABS(C44-B44*'Stock Inputs'!$C$45)/'Stock Inputs'!$C$42+ABS(D44+B44*'Stock Inputs'!$C$44)/'Stock Inputs'!$C$43,"")</x:f>
      </x:c>
      <x:c r="J44" s="24" t="str">
        <x:f>IF(AND(ISNUMBER(B44),AND(ISNUMBER('Stock Inputs'!$C$41),'Stock Inputs'!$C$41&gt;0,ISNUMBER('Stock Inputs'!$C$42),'Stock Inputs'!$C$42&gt;0,ISNUMBER('Stock Inputs'!$C$43),'Stock Inputs'!$C$43&gt;0),AND(ISNUMBER('Stock Inputs'!$C$44),ISNUMBER('Stock Inputs'!$C$45)),'Stock Inputs'!$C$34="YES"),MAX(0,ABS(C44-B44*'Stock Inputs'!$C$45)/'Stock Inputs'!$C$42+ABS(D44+B44*'Stock Inputs'!$C$44)/'Stock Inputs'!$C$43-B44/'Stock Inputs'!$C$41),"")</x:f>
      </x:c>
    </x:row>
    <x:row r="45" ht="28" customHeight="1">
      <x:c r="A45" s="3" t="str">
        <x:v>LC-29</x:v>
      </x:c>
      <x:c r="B45" s="25" t="str">
        <x:f>IF(ISNUMBER('Load Cases'!G35),'Load Cases'!G35,"")</x:f>
      </x:c>
      <x:c r="C45" s="25" t="str">
        <x:f>IF(ISNUMBER('Load Cases'!H35),'Load Cases'!H35,"")</x:f>
      </x:c>
      <x:c r="D45" s="25" t="str">
        <x:f>IF(ISNUMBER('Load Cases'!I35),'Load Cases'!I35,"")</x:f>
      </x:c>
      <x:c r="E45" s="25" t="str">
        <x:f>IF(AND(ISNUMBER(B45),AND(ISNUMBER($B$6),$B$6&gt;0,ISNUMBER($E$6),$E$6&gt;0,ISNUMBER($F$6),$F$6&gt;0)),B45/$B$6+ABS(C45)/$E$6+ABS(D45)/$F$6,"")</x:f>
      </x:c>
      <x:c r="F45" s="25" t="str">
        <x:f>IF(AND(ISNUMBER(B45),AND(ISNUMBER($B$6),$B$6&gt;0,ISNUMBER($E$6),$E$6&gt;0,ISNUMBER($F$6),$F$6&gt;0)),MAX(0,ABS(C45)/$E$6+ABS(D45)/$F$6-B45/$B$6),"")</x:f>
      </x:c>
      <x:c r="G45" s="25" t="str">
        <x:f>IF(AND(ISNUMBER(B45),AND(ISNUMBER('Stock Inputs'!$C$36),'Stock Inputs'!$C$36&gt;0,ISNUMBER('Stock Inputs'!$C$37),'Stock Inputs'!$C$37&gt;0,ISNUMBER('Stock Inputs'!$C$38),'Stock Inputs'!$C$38&gt;0),AND(ISNUMBER('Stock Inputs'!$C$39),ISNUMBER('Stock Inputs'!$C$40)),'Stock Inputs'!$C$34="YES"),B45/'Stock Inputs'!$C$36+ABS(C45-B45*'Stock Inputs'!$C$40)/'Stock Inputs'!$C$37+ABS(D45+B45*'Stock Inputs'!$C$39)/'Stock Inputs'!$C$38,"")</x:f>
      </x:c>
      <x:c r="H45" s="25" t="str">
        <x:f>IF(AND(ISNUMBER(B45),AND(ISNUMBER('Stock Inputs'!$C$36),'Stock Inputs'!$C$36&gt;0,ISNUMBER('Stock Inputs'!$C$37),'Stock Inputs'!$C$37&gt;0,ISNUMBER('Stock Inputs'!$C$38),'Stock Inputs'!$C$38&gt;0),AND(ISNUMBER('Stock Inputs'!$C$39),ISNUMBER('Stock Inputs'!$C$40)),'Stock Inputs'!$C$34="YES"),MAX(0,ABS(C45-B45*'Stock Inputs'!$C$40)/'Stock Inputs'!$C$37+ABS(D45+B45*'Stock Inputs'!$C$39)/'Stock Inputs'!$C$38-B45/'Stock Inputs'!$C$36),"")</x:f>
      </x:c>
      <x:c r="I45" s="25" t="str">
        <x:f>IF(AND(ISNUMBER(B45),AND(ISNUMBER('Stock Inputs'!$C$41),'Stock Inputs'!$C$41&gt;0,ISNUMBER('Stock Inputs'!$C$42),'Stock Inputs'!$C$42&gt;0,ISNUMBER('Stock Inputs'!$C$43),'Stock Inputs'!$C$43&gt;0),AND(ISNUMBER('Stock Inputs'!$C$44),ISNUMBER('Stock Inputs'!$C$45)),'Stock Inputs'!$C$34="YES"),B45/'Stock Inputs'!$C$41+ABS(C45-B45*'Stock Inputs'!$C$45)/'Stock Inputs'!$C$42+ABS(D45+B45*'Stock Inputs'!$C$44)/'Stock Inputs'!$C$43,"")</x:f>
      </x:c>
      <x:c r="J45" s="25" t="str">
        <x:f>IF(AND(ISNUMBER(B45),AND(ISNUMBER('Stock Inputs'!$C$41),'Stock Inputs'!$C$41&gt;0,ISNUMBER('Stock Inputs'!$C$42),'Stock Inputs'!$C$42&gt;0,ISNUMBER('Stock Inputs'!$C$43),'Stock Inputs'!$C$43&gt;0),AND(ISNUMBER('Stock Inputs'!$C$44),ISNUMBER('Stock Inputs'!$C$45)),'Stock Inputs'!$C$34="YES"),MAX(0,ABS(C45-B45*'Stock Inputs'!$C$45)/'Stock Inputs'!$C$42+ABS(D45+B45*'Stock Inputs'!$C$44)/'Stock Inputs'!$C$43-B45/'Stock Inputs'!$C$41),"")</x:f>
      </x:c>
    </x:row>
    <x:row r="46" ht="28" customHeight="1">
      <x:c r="A46" s="9" t="str">
        <x:v>LC-30</x:v>
      </x:c>
      <x:c r="B46" s="24" t="str">
        <x:f>IF(ISNUMBER('Load Cases'!G36),'Load Cases'!G36,"")</x:f>
      </x:c>
      <x:c r="C46" s="24" t="str">
        <x:f>IF(ISNUMBER('Load Cases'!H36),'Load Cases'!H36,"")</x:f>
      </x:c>
      <x:c r="D46" s="24" t="str">
        <x:f>IF(ISNUMBER('Load Cases'!I36),'Load Cases'!I36,"")</x:f>
      </x:c>
      <x:c r="E46" s="24" t="str">
        <x:f>IF(AND(ISNUMBER(B46),AND(ISNUMBER($B$6),$B$6&gt;0,ISNUMBER($E$6),$E$6&gt;0,ISNUMBER($F$6),$F$6&gt;0)),B46/$B$6+ABS(C46)/$E$6+ABS(D46)/$F$6,"")</x:f>
      </x:c>
      <x:c r="F46" s="24" t="str">
        <x:f>IF(AND(ISNUMBER(B46),AND(ISNUMBER($B$6),$B$6&gt;0,ISNUMBER($E$6),$E$6&gt;0,ISNUMBER($F$6),$F$6&gt;0)),MAX(0,ABS(C46)/$E$6+ABS(D46)/$F$6-B46/$B$6),"")</x:f>
      </x:c>
      <x:c r="G46" s="24" t="str">
        <x:f>IF(AND(ISNUMBER(B46),AND(ISNUMBER('Stock Inputs'!$C$36),'Stock Inputs'!$C$36&gt;0,ISNUMBER('Stock Inputs'!$C$37),'Stock Inputs'!$C$37&gt;0,ISNUMBER('Stock Inputs'!$C$38),'Stock Inputs'!$C$38&gt;0),AND(ISNUMBER('Stock Inputs'!$C$39),ISNUMBER('Stock Inputs'!$C$40)),'Stock Inputs'!$C$34="YES"),B46/'Stock Inputs'!$C$36+ABS(C46-B46*'Stock Inputs'!$C$40)/'Stock Inputs'!$C$37+ABS(D46+B46*'Stock Inputs'!$C$39)/'Stock Inputs'!$C$38,"")</x:f>
      </x:c>
      <x:c r="H46" s="24" t="str">
        <x:f>IF(AND(ISNUMBER(B46),AND(ISNUMBER('Stock Inputs'!$C$36),'Stock Inputs'!$C$36&gt;0,ISNUMBER('Stock Inputs'!$C$37),'Stock Inputs'!$C$37&gt;0,ISNUMBER('Stock Inputs'!$C$38),'Stock Inputs'!$C$38&gt;0),AND(ISNUMBER('Stock Inputs'!$C$39),ISNUMBER('Stock Inputs'!$C$40)),'Stock Inputs'!$C$34="YES"),MAX(0,ABS(C46-B46*'Stock Inputs'!$C$40)/'Stock Inputs'!$C$37+ABS(D46+B46*'Stock Inputs'!$C$39)/'Stock Inputs'!$C$38-B46/'Stock Inputs'!$C$36),"")</x:f>
      </x:c>
      <x:c r="I46" s="24" t="str">
        <x:f>IF(AND(ISNUMBER(B46),AND(ISNUMBER('Stock Inputs'!$C$41),'Stock Inputs'!$C$41&gt;0,ISNUMBER('Stock Inputs'!$C$42),'Stock Inputs'!$C$42&gt;0,ISNUMBER('Stock Inputs'!$C$43),'Stock Inputs'!$C$43&gt;0),AND(ISNUMBER('Stock Inputs'!$C$44),ISNUMBER('Stock Inputs'!$C$45)),'Stock Inputs'!$C$34="YES"),B46/'Stock Inputs'!$C$41+ABS(C46-B46*'Stock Inputs'!$C$45)/'Stock Inputs'!$C$42+ABS(D46+B46*'Stock Inputs'!$C$44)/'Stock Inputs'!$C$43,"")</x:f>
      </x:c>
      <x:c r="J46" s="24" t="str">
        <x:f>IF(AND(ISNUMBER(B46),AND(ISNUMBER('Stock Inputs'!$C$41),'Stock Inputs'!$C$41&gt;0,ISNUMBER('Stock Inputs'!$C$42),'Stock Inputs'!$C$42&gt;0,ISNUMBER('Stock Inputs'!$C$43),'Stock Inputs'!$C$43&gt;0),AND(ISNUMBER('Stock Inputs'!$C$44),ISNUMBER('Stock Inputs'!$C$45)),'Stock Inputs'!$C$34="YES"),MAX(0,ABS(C46-B46*'Stock Inputs'!$C$45)/'Stock Inputs'!$C$42+ABS(D46+B46*'Stock Inputs'!$C$44)/'Stock Inputs'!$C$43-B46/'Stock Inputs'!$C$41),"")</x:f>
      </x:c>
    </x:row>
    <x:row r="47" ht="28" customHeight="1">
      <x:c r="A47" s="3" t="str">
        <x:v>LC-31</x:v>
      </x:c>
      <x:c r="B47" s="25" t="str">
        <x:f>IF(ISNUMBER('Load Cases'!G37),'Load Cases'!G37,"")</x:f>
      </x:c>
      <x:c r="C47" s="25" t="str">
        <x:f>IF(ISNUMBER('Load Cases'!H37),'Load Cases'!H37,"")</x:f>
      </x:c>
      <x:c r="D47" s="25" t="str">
        <x:f>IF(ISNUMBER('Load Cases'!I37),'Load Cases'!I37,"")</x:f>
      </x:c>
      <x:c r="E47" s="25" t="str">
        <x:f>IF(AND(ISNUMBER(B47),AND(ISNUMBER($B$6),$B$6&gt;0,ISNUMBER($E$6),$E$6&gt;0,ISNUMBER($F$6),$F$6&gt;0)),B47/$B$6+ABS(C47)/$E$6+ABS(D47)/$F$6,"")</x:f>
      </x:c>
      <x:c r="F47" s="25" t="str">
        <x:f>IF(AND(ISNUMBER(B47),AND(ISNUMBER($B$6),$B$6&gt;0,ISNUMBER($E$6),$E$6&gt;0,ISNUMBER($F$6),$F$6&gt;0)),MAX(0,ABS(C47)/$E$6+ABS(D47)/$F$6-B47/$B$6),"")</x:f>
      </x:c>
      <x:c r="G47" s="25" t="str">
        <x:f>IF(AND(ISNUMBER(B47),AND(ISNUMBER('Stock Inputs'!$C$36),'Stock Inputs'!$C$36&gt;0,ISNUMBER('Stock Inputs'!$C$37),'Stock Inputs'!$C$37&gt;0,ISNUMBER('Stock Inputs'!$C$38),'Stock Inputs'!$C$38&gt;0),AND(ISNUMBER('Stock Inputs'!$C$39),ISNUMBER('Stock Inputs'!$C$40)),'Stock Inputs'!$C$34="YES"),B47/'Stock Inputs'!$C$36+ABS(C47-B47*'Stock Inputs'!$C$40)/'Stock Inputs'!$C$37+ABS(D47+B47*'Stock Inputs'!$C$39)/'Stock Inputs'!$C$38,"")</x:f>
      </x:c>
      <x:c r="H47" s="25" t="str">
        <x:f>IF(AND(ISNUMBER(B47),AND(ISNUMBER('Stock Inputs'!$C$36),'Stock Inputs'!$C$36&gt;0,ISNUMBER('Stock Inputs'!$C$37),'Stock Inputs'!$C$37&gt;0,ISNUMBER('Stock Inputs'!$C$38),'Stock Inputs'!$C$38&gt;0),AND(ISNUMBER('Stock Inputs'!$C$39),ISNUMBER('Stock Inputs'!$C$40)),'Stock Inputs'!$C$34="YES"),MAX(0,ABS(C47-B47*'Stock Inputs'!$C$40)/'Stock Inputs'!$C$37+ABS(D47+B47*'Stock Inputs'!$C$39)/'Stock Inputs'!$C$38-B47/'Stock Inputs'!$C$36),"")</x:f>
      </x:c>
      <x:c r="I47" s="25" t="str">
        <x:f>IF(AND(ISNUMBER(B47),AND(ISNUMBER('Stock Inputs'!$C$41),'Stock Inputs'!$C$41&gt;0,ISNUMBER('Stock Inputs'!$C$42),'Stock Inputs'!$C$42&gt;0,ISNUMBER('Stock Inputs'!$C$43),'Stock Inputs'!$C$43&gt;0),AND(ISNUMBER('Stock Inputs'!$C$44),ISNUMBER('Stock Inputs'!$C$45)),'Stock Inputs'!$C$34="YES"),B47/'Stock Inputs'!$C$41+ABS(C47-B47*'Stock Inputs'!$C$45)/'Stock Inputs'!$C$42+ABS(D47+B47*'Stock Inputs'!$C$44)/'Stock Inputs'!$C$43,"")</x:f>
      </x:c>
      <x:c r="J47" s="25" t="str">
        <x:f>IF(AND(ISNUMBER(B47),AND(ISNUMBER('Stock Inputs'!$C$41),'Stock Inputs'!$C$41&gt;0,ISNUMBER('Stock Inputs'!$C$42),'Stock Inputs'!$C$42&gt;0,ISNUMBER('Stock Inputs'!$C$43),'Stock Inputs'!$C$43&gt;0),AND(ISNUMBER('Stock Inputs'!$C$44),ISNUMBER('Stock Inputs'!$C$45)),'Stock Inputs'!$C$34="YES"),MAX(0,ABS(C47-B47*'Stock Inputs'!$C$45)/'Stock Inputs'!$C$42+ABS(D47+B47*'Stock Inputs'!$C$44)/'Stock Inputs'!$C$43-B47/'Stock Inputs'!$C$41),"")</x:f>
      </x:c>
    </x:row>
    <x:row r="48" ht="28" customHeight="1">
      <x:c r="A48" s="9"/>
      <x:c r="B48" s="24"/>
      <x:c r="C48" s="24"/>
      <x:c r="D48" s="24"/>
      <x:c r="E48" s="24"/>
      <x:c r="F48" s="24"/>
      <x:c r="G48" s="24"/>
      <x:c r="H48" s="24"/>
      <x:c r="I48" s="24"/>
      <x:c r="J48" s="24"/>
    </x:row>
    <x:row r="49" ht="30" customHeight="1">
      <x:c r="A49" s="8" t="str">
        <x:v>Maxima across the 32 static cases</x:v>
      </x:c>
      <x:c r="B49" s="30" t="str">
        <x:v>Maxima across the 32 static cases</x:v>
      </x:c>
      <x:c r="C49" s="30" t="str">
        <x:v>Maxima across the 32 static cases</x:v>
      </x:c>
      <x:c r="D49" s="30" t="str">
        <x:v>Maxima across the 32 static cases</x:v>
      </x:c>
      <x:c r="E49" s="30" t="str">
        <x:v>Maxima across the 32 static cases</x:v>
      </x:c>
      <x:c r="F49" s="30" t="str">
        <x:v>Maxima across the 32 static cases</x:v>
      </x:c>
      <x:c r="G49" s="30" t="str">
        <x:v>Maxima across the 32 static cases</x:v>
      </x:c>
      <x:c r="H49" s="30" t="str">
        <x:v>Maxima across the 32 static cases</x:v>
      </x:c>
      <x:c r="I49" s="30" t="str">
        <x:v>Maxima across the 32 static cases</x:v>
      </x:c>
      <x:c r="J49" s="30" t="str">
        <x:v>Maxima across the 32 static cases</x:v>
      </x:c>
    </x:row>
    <x:row r="50" ht="28" customHeight="1">
      <x:c r="A50" s="9" t="str">
        <x:v>Peak stress (psi)</x:v>
      </x:c>
      <x:c r="B50" s="24"/>
      <x:c r="C50" s="24"/>
      <x:c r="D50" s="24"/>
      <x:c r="E50" s="24" t="str">
        <x:f>IF(COUNT(E16:E47)=32,MAX(E16:E47),"")</x:f>
      </x:c>
      <x:c r="F50" s="24" t="str">
        <x:f>IF(COUNT(F16:F47)=32,MAX(F16:F47),"")</x:f>
      </x:c>
      <x:c r="G50" s="24" t="str">
        <x:f>IF(COUNT(G16:G47)=32,MAX(G16:G47),"")</x:f>
      </x:c>
      <x:c r="H50" s="24" t="str">
        <x:f>IF(COUNT(H16:H47)=32,MAX(H16:H47),"")</x:f>
      </x:c>
      <x:c r="I50" s="24" t="str">
        <x:f>IF(COUNT(I16:I47)=32,MAX(I16:I47),"")</x:f>
      </x:c>
      <x:c r="J50" s="24" t="str">
        <x:f>IF(COUNT(J16:J47)=32,MAX(J16:J47),"")</x:f>
      </x:c>
    </x:row>
    <x:row r="51" ht="28" customHeight="1">
      <x:c r="A51" s="3"/>
      <x:c r="B51" s="3"/>
      <x:c r="C51" s="3"/>
      <x:c r="D51" s="3"/>
      <x:c r="E51" s="3"/>
      <x:c r="F51" s="3"/>
      <x:c r="G51" s="3"/>
      <x:c r="H51" s="3"/>
      <x:c r="I51" s="3"/>
      <x:c r="J51" s="3"/>
    </x:row>
    <x:row r="52" ht="28" customHeight="1">
      <x:c r="A52" s="9" t="str">
        <x:v>Gross section: A=b d; Ix=b d^3/12; Iy=d b^3/12; Sx=b d^2/6; Sy=d b^2/6. Net section properties and centroids are reviewed inputs. Asymmetric/nonprincipal sections require a full section analysis.</x:v>
      </x:c>
      <x:c r="B52" s="9" t="str">
        <x:v>Gross section: A=b d; Ix=b d^3/12; Iy=d b^3/12; Sx=b d^2/6; Sy=d b^2/6. Net section properties and centroids are reviewed inputs. Asymmetric/nonprincipal sections require a full section analysis.</x:v>
      </x:c>
      <x:c r="C52" s="9" t="str">
        <x:v>Gross section: A=b d; Ix=b d^3/12; Iy=d b^3/12; Sx=b d^2/6; Sy=d b^2/6. Net section properties and centroids are reviewed inputs. Asymmetric/nonprincipal sections require a full section analysis.</x:v>
      </x:c>
      <x:c r="D52" s="9" t="str">
        <x:v>Gross section: A=b d; Ix=b d^3/12; Iy=d b^3/12; Sx=b d^2/6; Sy=d b^2/6. Net section properties and centroids are reviewed inputs. Asymmetric/nonprincipal sections require a full section analysis.</x:v>
      </x:c>
      <x:c r="E52" s="9" t="str">
        <x:v>Gross section: A=b d; Ix=b d^3/12; Iy=d b^3/12; Sx=b d^2/6; Sy=d b^2/6. Net section properties and centroids are reviewed inputs. Asymmetric/nonprincipal sections require a full section analysis.</x:v>
      </x:c>
      <x:c r="F52" s="9" t="str">
        <x:v>Gross section: A=b d; Ix=b d^3/12; Iy=d b^3/12; Sx=b d^2/6; Sy=d b^2/6. Net section properties and centroids are reviewed inputs. Asymmetric/nonprincipal sections require a full section analysis.</x:v>
      </x:c>
      <x:c r="G52" s="9" t="str">
        <x:v>Gross section: A=b d; Ix=b d^3/12; Iy=d b^3/12; Sx=b d^2/6; Sy=d b^2/6. Net section properties and centroids are reviewed inputs. Asymmetric/nonprincipal sections require a full section analysis.</x:v>
      </x:c>
      <x:c r="H52" s="9" t="str">
        <x:v>Gross section: A=b d; Ix=b d^3/12; Iy=d b^3/12; Sx=b d^2/6; Sy=d b^2/6. Net section properties and centroids are reviewed inputs. Asymmetric/nonprincipal sections require a full section analysis.</x:v>
      </x:c>
      <x:c r="I52" s="9" t="str">
        <x:v>Gross section: A=b d; Ix=b d^3/12; Iy=d b^3/12; Sx=b d^2/6; Sy=d b^2/6. Net section properties and centroids are reviewed inputs. Asymmetric/nonprincipal sections require a full section analysis.</x:v>
      </x:c>
      <x:c r="J52" s="9" t="str">
        <x:v>Gross section: A=b d; Ix=b d^3/12; Iy=d b^3/12; Sx=b d^2/6; Sy=d b^2/6. Net section properties and centroids are reviewed inputs. Asymmetric/nonprincipal sections require a full section analysis.</x:v>
      </x:c>
    </x:row>
    <x:row r="53" ht="28" customHeight="1">
      <x:c r="A53" s="3" t="str">
        <x:v>Gross section: A=b d; Ix=b d^3/12; Iy=d b^3/12; Sx=b d^2/6; Sy=d b^2/6. Net section properties and centroids are reviewed inputs. Asymmetric/nonprincipal sections require a full section analysis.</x:v>
      </x:c>
      <x:c r="B53" s="3" t="str">
        <x:v>Gross section: A=b d; Ix=b d^3/12; Iy=d b^3/12; Sx=b d^2/6; Sy=d b^2/6. Net section properties and centroids are reviewed inputs. Asymmetric/nonprincipal sections require a full section analysis.</x:v>
      </x:c>
      <x:c r="C53" s="3" t="str">
        <x:v>Gross section: A=b d; Ix=b d^3/12; Iy=d b^3/12; Sx=b d^2/6; Sy=d b^2/6. Net section properties and centroids are reviewed inputs. Asymmetric/nonprincipal sections require a full section analysis.</x:v>
      </x:c>
      <x:c r="D53" s="3" t="str">
        <x:v>Gross section: A=b d; Ix=b d^3/12; Iy=d b^3/12; Sx=b d^2/6; Sy=d b^2/6. Net section properties and centroids are reviewed inputs. Asymmetric/nonprincipal sections require a full section analysis.</x:v>
      </x:c>
      <x:c r="E53" s="3" t="str">
        <x:v>Gross section: A=b d; Ix=b d^3/12; Iy=d b^3/12; Sx=b d^2/6; Sy=d b^2/6. Net section properties and centroids are reviewed inputs. Asymmetric/nonprincipal sections require a full section analysis.</x:v>
      </x:c>
      <x:c r="F53" s="3" t="str">
        <x:v>Gross section: A=b d; Ix=b d^3/12; Iy=d b^3/12; Sx=b d^2/6; Sy=d b^2/6. Net section properties and centroids are reviewed inputs. Asymmetric/nonprincipal sections require a full section analysis.</x:v>
      </x:c>
      <x:c r="G53" s="3" t="str">
        <x:v>Gross section: A=b d; Ix=b d^3/12; Iy=d b^3/12; Sx=b d^2/6; Sy=d b^2/6. Net section properties and centroids are reviewed inputs. Asymmetric/nonprincipal sections require a full section analysis.</x:v>
      </x:c>
      <x:c r="H53" s="3" t="str">
        <x:v>Gross section: A=b d; Ix=b d^3/12; Iy=d b^3/12; Sx=b d^2/6; Sy=d b^2/6. Net section properties and centroids are reviewed inputs. Asymmetric/nonprincipal sections require a full section analysis.</x:v>
      </x:c>
      <x:c r="I53" s="3" t="str">
        <x:v>Gross section: A=b d; Ix=b d^3/12; Iy=d b^3/12; Sx=b d^2/6; Sy=d b^2/6. Net section properties and centroids are reviewed inputs. Asymmetric/nonprincipal sections require a full section analysis.</x:v>
      </x:c>
      <x:c r="J53" s="3" t="str">
        <x:v>Gross section: A=b d; Ix=b d^3/12; Iy=d b^3/12; Sx=b d^2/6; Sy=d b^2/6. Net section properties and centroids are reviewed inputs. Asymmetric/nonprincipal sections require a full section analysis.</x:v>
      </x:c>
    </x:row>
    <x:row r="54" ht="28" customHeight="1">
      <x:c r="A54" s="9"/>
      <x:c r="B54" s="9"/>
      <x:c r="C54" s="9"/>
      <x:c r="D54" s="9"/>
      <x:c r="E54" s="9"/>
      <x:c r="F54" s="9"/>
      <x:c r="G54" s="9"/>
      <x:c r="H54" s="9"/>
      <x:c r="I54" s="9"/>
      <x:c r="J54" s="9"/>
    </x:row>
    <x:row r="55" ht="28" customHeight="1">
      <x:c r="A55" s="3" t="str">
        <x:v>Stress = P/A +/- Mx/Sx +/- My/Sy. The source opposite-face tension threshold for single-axis eccentric compression is e &gt; d/6. A low gross stress does not establish joint capacity, deflection, fatigue or a likely failure order.</x:v>
      </x:c>
      <x:c r="B55" s="3" t="str">
        <x:v>Stress = P/A +/- Mx/Sx +/- My/Sy. The source opposite-face tension threshold for single-axis eccentric compression is e &gt; d/6. A low gross stress does not establish joint capacity, deflection, fatigue or a likely failure order.</x:v>
      </x:c>
      <x:c r="C55" s="3" t="str">
        <x:v>Stress = P/A +/- Mx/Sx +/- My/Sy. The source opposite-face tension threshold for single-axis eccentric compression is e &gt; d/6. A low gross stress does not establish joint capacity, deflection, fatigue or a likely failure order.</x:v>
      </x:c>
      <x:c r="D55" s="3" t="str">
        <x:v>Stress = P/A +/- Mx/Sx +/- My/Sy. The source opposite-face tension threshold for single-axis eccentric compression is e &gt; d/6. A low gross stress does not establish joint capacity, deflection, fatigue or a likely failure order.</x:v>
      </x:c>
      <x:c r="E55" s="3" t="str">
        <x:v>Stress = P/A +/- Mx/Sx +/- My/Sy. The source opposite-face tension threshold for single-axis eccentric compression is e &gt; d/6. A low gross stress does not establish joint capacity, deflection, fatigue or a likely failure order.</x:v>
      </x:c>
      <x:c r="F55" s="3" t="str">
        <x:v>Stress = P/A +/- Mx/Sx +/- My/Sy. The source opposite-face tension threshold for single-axis eccentric compression is e &gt; d/6. A low gross stress does not establish joint capacity, deflection, fatigue or a likely failure order.</x:v>
      </x:c>
      <x:c r="G55" s="3" t="str">
        <x:v>Stress = P/A +/- Mx/Sx +/- My/Sy. The source opposite-face tension threshold for single-axis eccentric compression is e &gt; d/6. A low gross stress does not establish joint capacity, deflection, fatigue or a likely failure order.</x:v>
      </x:c>
      <x:c r="H55" s="3" t="str">
        <x:v>Stress = P/A +/- Mx/Sx +/- My/Sy. The source opposite-face tension threshold for single-axis eccentric compression is e &gt; d/6. A low gross stress does not establish joint capacity, deflection, fatigue or a likely failure order.</x:v>
      </x:c>
      <x:c r="I55" s="3" t="str">
        <x:v>Stress = P/A +/- Mx/Sx +/- My/Sy. The source opposite-face tension threshold for single-axis eccentric compression is e &gt; d/6. A low gross stress does not establish joint capacity, deflection, fatigue or a likely failure order.</x:v>
      </x:c>
      <x:c r="J55" s="3" t="str">
        <x:v>Stress = P/A +/- Mx/Sx +/- My/Sy. The source opposite-face tension threshold for single-axis eccentric compression is e &gt; d/6. A low gross stress does not establish joint capacity, deflection, fatigue or a likely failure order.</x:v>
      </x:c>
    </x:row>
    <x:row r="56" ht="28" customHeight="1">
      <x:c r="A56" s="9" t="str">
        <x:v>Stress = P/A +/- Mx/Sx +/- My/Sy. The source opposite-face tension threshold for single-axis eccentric compression is e &gt; d/6. A low gross stress does not establish joint capacity, deflection, fatigue or a likely failure order.</x:v>
      </x:c>
      <x:c r="B56" s="9" t="str">
        <x:v>Stress = P/A +/- Mx/Sx +/- My/Sy. The source opposite-face tension threshold for single-axis eccentric compression is e &gt; d/6. A low gross stress does not establish joint capacity, deflection, fatigue or a likely failure order.</x:v>
      </x:c>
      <x:c r="C56" s="9" t="str">
        <x:v>Stress = P/A +/- Mx/Sx +/- My/Sy. The source opposite-face tension threshold for single-axis eccentric compression is e &gt; d/6. A low gross stress does not establish joint capacity, deflection, fatigue or a likely failure order.</x:v>
      </x:c>
      <x:c r="D56" s="9" t="str">
        <x:v>Stress = P/A +/- Mx/Sx +/- My/Sy. The source opposite-face tension threshold for single-axis eccentric compression is e &gt; d/6. A low gross stress does not establish joint capacity, deflection, fatigue or a likely failure order.</x:v>
      </x:c>
      <x:c r="E56" s="9" t="str">
        <x:v>Stress = P/A +/- Mx/Sx +/- My/Sy. The source opposite-face tension threshold for single-axis eccentric compression is e &gt; d/6. A low gross stress does not establish joint capacity, deflection, fatigue or a likely failure order.</x:v>
      </x:c>
      <x:c r="F56" s="9" t="str">
        <x:v>Stress = P/A +/- Mx/Sx +/- My/Sy. The source opposite-face tension threshold for single-axis eccentric compression is e &gt; d/6. A low gross stress does not establish joint capacity, deflection, fatigue or a likely failure order.</x:v>
      </x:c>
      <x:c r="G56" s="9" t="str">
        <x:v>Stress = P/A +/- Mx/Sx +/- My/Sy. The source opposite-face tension threshold for single-axis eccentric compression is e &gt; d/6. A low gross stress does not establish joint capacity, deflection, fatigue or a likely failure order.</x:v>
      </x:c>
      <x:c r="H56" s="9" t="str">
        <x:v>Stress = P/A +/- Mx/Sx +/- My/Sy. The source opposite-face tension threshold for single-axis eccentric compression is e &gt; d/6. A low gross stress does not establish joint capacity, deflection, fatigue or a likely failure order.</x:v>
      </x:c>
      <x:c r="I56" s="9" t="str">
        <x:v>Stress = P/A +/- Mx/Sx +/- My/Sy. The source opposite-face tension threshold for single-axis eccentric compression is e &gt; d/6. A low gross stress does not establish joint capacity, deflection, fatigue or a likely failure order.</x:v>
      </x:c>
      <x:c r="J56" s="9" t="str">
        <x:v>Stress = P/A +/- Mx/Sx +/- My/Sy. The source opposite-face tension threshold for single-axis eccentric compression is e &gt; d/6. A low gross stress does not establish joint capacity, deflection, fatigue or a likely failure order.</x:v>
      </x:c>
    </x:row>
    <x:row r="57" ht="28" customHeight="1">
      <x:c r="A57" s="3"/>
      <x:c r="B57" s="3"/>
      <x:c r="C57" s="3"/>
      <x:c r="D57" s="3"/>
      <x:c r="E57" s="3"/>
      <x:c r="F57" s="3"/>
      <x:c r="G57" s="3"/>
      <x:c r="H57" s="3"/>
      <x:c r="I57" s="3"/>
      <x:c r="J57" s="3"/>
    </x:row>
    <x:row r="58" ht="28" customHeight="1">
      <x:c r="A58" s="9" t="str">
        <x:v>Review Limits SP01-SP05 require the adopted member equations, adjusted properties and combined-load/serviceability review. Do not compare the displayed extreme-fiber compression directly with a clear-wood ultimate or a compression-only allowable.</x:v>
      </x:c>
      <x:c r="B58" s="9" t="str">
        <x:v>Review Limits SP01-SP05 require the adopted member equations, adjusted properties and combined-load/serviceability review. Do not compare the displayed extreme-fiber compression directly with a clear-wood ultimate or a compression-only allowable.</x:v>
      </x:c>
      <x:c r="C58" s="9" t="str">
        <x:v>Review Limits SP01-SP05 require the adopted member equations, adjusted properties and combined-load/serviceability review. Do not compare the displayed extreme-fiber compression directly with a clear-wood ultimate or a compression-only allowable.</x:v>
      </x:c>
      <x:c r="D58" s="9" t="str">
        <x:v>Review Limits SP01-SP05 require the adopted member equations, adjusted properties and combined-load/serviceability review. Do not compare the displayed extreme-fiber compression directly with a clear-wood ultimate or a compression-only allowable.</x:v>
      </x:c>
      <x:c r="E58" s="9" t="str">
        <x:v>Review Limits SP01-SP05 require the adopted member equations, adjusted properties and combined-load/serviceability review. Do not compare the displayed extreme-fiber compression directly with a clear-wood ultimate or a compression-only allowable.</x:v>
      </x:c>
      <x:c r="F58" s="9" t="str">
        <x:v>Review Limits SP01-SP05 require the adopted member equations, adjusted properties and combined-load/serviceability review. Do not compare the displayed extreme-fiber compression directly with a clear-wood ultimate or a compression-only allowable.</x:v>
      </x:c>
      <x:c r="G58" s="9" t="str">
        <x:v>Review Limits SP01-SP05 require the adopted member equations, adjusted properties and combined-load/serviceability review. Do not compare the displayed extreme-fiber compression directly with a clear-wood ultimate or a compression-only allowable.</x:v>
      </x:c>
      <x:c r="H58" s="9" t="str">
        <x:v>Review Limits SP01-SP05 require the adopted member equations, adjusted properties and combined-load/serviceability review. Do not compare the displayed extreme-fiber compression directly with a clear-wood ultimate or a compression-only allowable.</x:v>
      </x:c>
      <x:c r="I58" s="9" t="str">
        <x:v>Review Limits SP01-SP05 require the adopted member equations, adjusted properties and combined-load/serviceability review. Do not compare the displayed extreme-fiber compression directly with a clear-wood ultimate or a compression-only allowable.</x:v>
      </x:c>
      <x:c r="J58" s="9" t="str">
        <x:v>Review Limits SP01-SP05 require the adopted member equations, adjusted properties and combined-load/serviceability review. Do not compare the displayed extreme-fiber compression directly with a clear-wood ultimate or a compression-only allowable.</x:v>
      </x:c>
    </x:row>
    <x:row r="59" ht="28" customHeight="1">
      <x:c r="A59" s="3" t="str">
        <x:v>Review Limits SP01-SP05 require the adopted member equations, adjusted properties and combined-load/serviceability review. Do not compare the displayed extreme-fiber compression directly with a clear-wood ultimate or a compression-only allowable.</x:v>
      </x:c>
      <x:c r="B59" s="3" t="str">
        <x:v>Review Limits SP01-SP05 require the adopted member equations, adjusted properties and combined-load/serviceability review. Do not compare the displayed extreme-fiber compression directly with a clear-wood ultimate or a compression-only allowable.</x:v>
      </x:c>
      <x:c r="C59" s="3" t="str">
        <x:v>Review Limits SP01-SP05 require the adopted member equations, adjusted properties and combined-load/serviceability review. Do not compare the displayed extreme-fiber compression directly with a clear-wood ultimate or a compression-only allowable.</x:v>
      </x:c>
      <x:c r="D59" s="3" t="str">
        <x:v>Review Limits SP01-SP05 require the adopted member equations, adjusted properties and combined-load/serviceability review. Do not compare the displayed extreme-fiber compression directly with a clear-wood ultimate or a compression-only allowable.</x:v>
      </x:c>
      <x:c r="E59" s="3" t="str">
        <x:v>Review Limits SP01-SP05 require the adopted member equations, adjusted properties and combined-load/serviceability review. Do not compare the displayed extreme-fiber compression directly with a clear-wood ultimate or a compression-only allowable.</x:v>
      </x:c>
      <x:c r="F59" s="3" t="str">
        <x:v>Review Limits SP01-SP05 require the adopted member equations, adjusted properties and combined-load/serviceability review. Do not compare the displayed extreme-fiber compression directly with a clear-wood ultimate or a compression-only allowable.</x:v>
      </x:c>
      <x:c r="G59" s="3" t="str">
        <x:v>Review Limits SP01-SP05 require the adopted member equations, adjusted properties and combined-load/serviceability review. Do not compare the displayed extreme-fiber compression directly with a clear-wood ultimate or a compression-only allowable.</x:v>
      </x:c>
      <x:c r="H59" s="3" t="str">
        <x:v>Review Limits SP01-SP05 require the adopted member equations, adjusted properties and combined-load/serviceability review. Do not compare the displayed extreme-fiber compression directly with a clear-wood ultimate or a compression-only allowable.</x:v>
      </x:c>
      <x:c r="I59" s="3" t="str">
        <x:v>Review Limits SP01-SP05 require the adopted member equations, adjusted properties and combined-load/serviceability review. Do not compare the displayed extreme-fiber compression directly with a clear-wood ultimate or a compression-only allowable.</x:v>
      </x:c>
      <x:c r="J59" s="3" t="str">
        <x:v>Review Limits SP01-SP05 require the adopted member equations, adjusted properties and combined-load/serviceability review. Do not compare the displayed extreme-fiber compression directly with a clear-wood ultimate or a compression-only allowable.</x:v>
      </x:c>
    </x:row>
  </x:sheetData>
  <x:mergeCells>
    <x:mergeCell ref="A1:J2"/>
    <x:mergeCell ref="A3:J3"/>
    <x:mergeCell ref="E8:J10"/>
    <x:mergeCell ref="C12:J13"/>
    <x:mergeCell ref="A15:J15"/>
    <x:mergeCell ref="A49:J49"/>
    <x:mergeCell ref="A52:J53"/>
    <x:mergeCell ref="A55:J56"/>
    <x:mergeCell ref="A58:J5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9" hidden="0" customWidth="1"/>
    <x:col min="2" max="2" width="25" hidden="0" customWidth="1"/>
    <x:col min="3" max="3" width="25" hidden="0" customWidth="1"/>
    <x:col min="4" max="4" width="14" hidden="0" customWidth="1"/>
    <x:col min="5" max="5" width="106" hidden="0" customWidth="1"/>
  </x:cols>
  <x:sheetData>
    <x:row r="1" ht="28" customHeight="1">
      <x:c r="A1" s="5" t="str">
        <x:v>Joints | Demand screens &amp; geometry checks</x:v>
      </x:c>
      <x:c r="B1" s="5" t="str">
        <x:v>Joints | Demand screens &amp; geometry checks</x:v>
      </x:c>
      <x:c r="C1" s="5" t="str">
        <x:v>Joints | Demand screens &amp; geometry checks</x:v>
      </x:c>
      <x:c r="D1" s="5" t="str">
        <x:v>Joints | Demand screens &amp; geometry checks</x:v>
      </x:c>
      <x:c r="E1" s="5" t="str">
        <x:v>Joints | Demand screens &amp; geometry checks</x:v>
      </x:c>
    </x:row>
    <x:row r="2" ht="28" customHeight="1">
      <x:c r="A2" s="5" t="str">
        <x:v>Joints | Demand screens &amp; geometry checks</x:v>
      </x:c>
      <x:c r="B2" s="5" t="str">
        <x:v>Joints | Demand screens &amp; geometry checks</x:v>
      </x:c>
      <x:c r="C2" s="5" t="str">
        <x:v>Joints | Demand screens &amp; geometry checks</x:v>
      </x:c>
      <x:c r="D2" s="5" t="str">
        <x:v>Joints | Demand screens &amp; geometry checks</x:v>
      </x:c>
      <x:c r="E2" s="5" t="str">
        <x:v>Joints | Demand screens &amp; geometry checks</x:v>
      </x:c>
    </x:row>
    <x:row r="3" ht="43" customHeight="1">
      <x:c r="A3" s="6" t="str">
        <x:v>Each end carries the full string resultant. Local hardware loads, prying and connection capacities remain separate review items.</x:v>
      </x:c>
      <x:c r="B3" s="6" t="str">
        <x:v>Each end carries the full string resultant. Local hardware loads, prying and connection capacities remain separate review items.</x:v>
      </x:c>
      <x:c r="C3" s="6" t="str">
        <x:v>Each end carries the full string resultant. Local hardware loads, prying and connection capacities remain separate review items.</x:v>
      </x:c>
      <x:c r="D3" s="6" t="str">
        <x:v>Each end carries the full string resultant. Local hardware loads, prying and connection capacities remain separate review items.</x:v>
      </x:c>
      <x:c r="E3" s="6" t="str">
        <x:v>Each end carries the full string resultant. Local hardware loads, prying and connection capacities remain separate review items.</x:v>
      </x:c>
    </x:row>
    <x:row r="4" ht="28" customHeight="1">
      <x:c r="A4" s="3"/>
      <x:c r="B4" s="3"/>
      <x:c r="C4" s="3"/>
      <x:c r="D4" s="3"/>
      <x:c r="E4" s="3"/>
    </x:row>
    <x:row r="5" ht="36" customHeight="1">
      <x:c r="A5" s="8" t="str">
        <x:v>Metric</x:v>
      </x:c>
      <x:c r="B5" s="8" t="str">
        <x:v>Upper</x:v>
      </x:c>
      <x:c r="C5" s="8" t="str">
        <x:v>Lower</x:v>
      </x:c>
      <x:c r="D5" s="8" t="str">
        <x:v>Unit</x:v>
      </x:c>
      <x:c r="E5" s="8" t="str">
        <x:v>Equation / use / restriction</x:v>
      </x:c>
    </x:row>
    <x:row r="6" ht="45" customHeight="1">
      <x:c r="A6" s="9" t="str">
        <x:v>P max</x:v>
      </x:c>
      <x:c r="B6" s="24" t="str">
        <x:f>IF(ISNUMBER('Load Cases'!G40),'Load Cases'!G40,"")</x:f>
      </x:c>
      <x:c r="C6" s="24" t="str">
        <x:f>IF(ISNUMBER('Load Cases'!G40),'Load Cases'!G40,"")</x:f>
      </x:c>
      <x:c r="D6" s="9" t="str">
        <x:v>lbf</x:v>
      </x:c>
      <x:c r="E6" s="9" t="str">
        <x:v>Full axial string resultant at each end.</x:v>
      </x:c>
    </x:row>
    <x:row r="7" ht="45" customHeight="1">
      <x:c r="A7" s="3" t="str">
        <x:v>|Mx| max about joint reference</x:v>
      </x:c>
      <x:c r="B7" s="25" t="str">
        <x:f>IF(AND(COUNT('Load Cases'!G6:G37)=32,ISNUMBER('Joint Inputs'!$C$16)),MAX(ABS('Load Cases'!H6-'Load Cases'!G6*'Joint Inputs'!$C$16),ABS('Load Cases'!H7-'Load Cases'!G7*'Joint Inputs'!$C$16),ABS('Load Cases'!H8-'Load Cases'!G8*'Joint Inputs'!$C$16),ABS('Load Cases'!H9-'Load Cases'!G9*'Joint Inputs'!$C$16),ABS('Load Cases'!H10-'Load Cases'!G10*'Joint Inputs'!$C$16),ABS('Load Cases'!H11-'Load Cases'!G11*'Joint Inputs'!$C$16),ABS('Load Cases'!H12-'Load Cases'!G12*'Joint Inputs'!$C$16),ABS('Load Cases'!H13-'Load Cases'!G13*'Joint Inputs'!$C$16),ABS('Load Cases'!H14-'Load Cases'!G14*'Joint Inputs'!$C$16),ABS('Load Cases'!H15-'Load Cases'!G15*'Joint Inputs'!$C$16),ABS('Load Cases'!H16-'Load Cases'!G16*'Joint Inputs'!$C$16),ABS('Load Cases'!H17-'Load Cases'!G17*'Joint Inputs'!$C$16),ABS('Load Cases'!H18-'Load Cases'!G18*'Joint Inputs'!$C$16),ABS('Load Cases'!H19-'Load Cases'!G19*'Joint Inputs'!$C$16),ABS('Load Cases'!H20-'Load Cases'!G20*'Joint Inputs'!$C$16),ABS('Load Cases'!H21-'Load Cases'!G21*'Joint Inputs'!$C$16),ABS('Load Cases'!H22-'Load Cases'!G22*'Joint Inputs'!$C$16),ABS('Load Cases'!H23-'Load Cases'!G23*'Joint Inputs'!$C$16),ABS('Load Cases'!H24-'Load Cases'!G24*'Joint Inputs'!$C$16),ABS('Load Cases'!H25-'Load Cases'!G25*'Joint Inputs'!$C$16),ABS('Load Cases'!H26-'Load Cases'!G26*'Joint Inputs'!$C$16),ABS('Load Cases'!H27-'Load Cases'!G27*'Joint Inputs'!$C$16),ABS('Load Cases'!H28-'Load Cases'!G28*'Joint Inputs'!$C$16),ABS('Load Cases'!H29-'Load Cases'!G29*'Joint Inputs'!$C$16),ABS('Load Cases'!H30-'Load Cases'!G30*'Joint Inputs'!$C$16),ABS('Load Cases'!H31-'Load Cases'!G31*'Joint Inputs'!$C$16),ABS('Load Cases'!H32-'Load Cases'!G32*'Joint Inputs'!$C$16),ABS('Load Cases'!H33-'Load Cases'!G33*'Joint Inputs'!$C$16),ABS('Load Cases'!H34-'Load Cases'!G34*'Joint Inputs'!$C$16),ABS('Load Cases'!H35-'Load Cases'!G35*'Joint Inputs'!$C$16),ABS('Load Cases'!H36-'Load Cases'!G36*'Joint Inputs'!$C$16),ABS('Load Cases'!H37-'Load Cases'!G37*'Joint Inputs'!$C$16)),"")</x:f>
      </x:c>
      <x:c r="C7" s="25" t="str">
        <x:f>IF(AND(COUNT('Load Cases'!G6:G37)=32,ISNUMBER('Joint Inputs'!$D$16)),MAX(ABS('Load Cases'!H6-'Load Cases'!G6*'Joint Inputs'!$D$16),ABS('Load Cases'!H7-'Load Cases'!G7*'Joint Inputs'!$D$16),ABS('Load Cases'!H8-'Load Cases'!G8*'Joint Inputs'!$D$16),ABS('Load Cases'!H9-'Load Cases'!G9*'Joint Inputs'!$D$16),ABS('Load Cases'!H10-'Load Cases'!G10*'Joint Inputs'!$D$16),ABS('Load Cases'!H11-'Load Cases'!G11*'Joint Inputs'!$D$16),ABS('Load Cases'!H12-'Load Cases'!G12*'Joint Inputs'!$D$16),ABS('Load Cases'!H13-'Load Cases'!G13*'Joint Inputs'!$D$16),ABS('Load Cases'!H14-'Load Cases'!G14*'Joint Inputs'!$D$16),ABS('Load Cases'!H15-'Load Cases'!G15*'Joint Inputs'!$D$16),ABS('Load Cases'!H16-'Load Cases'!G16*'Joint Inputs'!$D$16),ABS('Load Cases'!H17-'Load Cases'!G17*'Joint Inputs'!$D$16),ABS('Load Cases'!H18-'Load Cases'!G18*'Joint Inputs'!$D$16),ABS('Load Cases'!H19-'Load Cases'!G19*'Joint Inputs'!$D$16),ABS('Load Cases'!H20-'Load Cases'!G20*'Joint Inputs'!$D$16),ABS('Load Cases'!H21-'Load Cases'!G21*'Joint Inputs'!$D$16),ABS('Load Cases'!H22-'Load Cases'!G22*'Joint Inputs'!$D$16),ABS('Load Cases'!H23-'Load Cases'!G23*'Joint Inputs'!$D$16),ABS('Load Cases'!H24-'Load Cases'!G24*'Joint Inputs'!$D$16),ABS('Load Cases'!H25-'Load Cases'!G25*'Joint Inputs'!$D$16),ABS('Load Cases'!H26-'Load Cases'!G26*'Joint Inputs'!$D$16),ABS('Load Cases'!H27-'Load Cases'!G27*'Joint Inputs'!$D$16),ABS('Load Cases'!H28-'Load Cases'!G28*'Joint Inputs'!$D$16),ABS('Load Cases'!H29-'Load Cases'!G29*'Joint Inputs'!$D$16),ABS('Load Cases'!H30-'Load Cases'!G30*'Joint Inputs'!$D$16),ABS('Load Cases'!H31-'Load Cases'!G31*'Joint Inputs'!$D$16),ABS('Load Cases'!H32-'Load Cases'!G32*'Joint Inputs'!$D$16),ABS('Load Cases'!H33-'Load Cases'!G33*'Joint Inputs'!$D$16),ABS('Load Cases'!H34-'Load Cases'!G34*'Joint Inputs'!$D$16),ABS('Load Cases'!H35-'Load Cases'!G35*'Joint Inputs'!$D$16),ABS('Load Cases'!H36-'Load Cases'!G36*'Joint Inputs'!$D$16),ABS('Load Cases'!H37-'Load Cases'!G37*'Joint Inputs'!$D$16)),"")</x:f>
      </x:c>
      <x:c r="D7" s="3" t="str">
        <x:v>lbf in</x:v>
      </x:c>
      <x:c r="E7" s="3" t="str">
        <x:v>max |Mx_spine - P y_joint| across the static cases.</x:v>
      </x:c>
    </x:row>
    <x:row r="8" ht="45" customHeight="1">
      <x:c r="A8" s="9" t="str">
        <x:v>|My| max about joint reference</x:v>
      </x:c>
      <x:c r="B8" s="24" t="str">
        <x:f>IF(AND(COUNT('Load Cases'!G6:G37)=32,ISNUMBER('Joint Inputs'!$C$15)),MAX(ABS('Load Cases'!I6+'Load Cases'!G6*'Joint Inputs'!$C$15),ABS('Load Cases'!I7+'Load Cases'!G7*'Joint Inputs'!$C$15),ABS('Load Cases'!I8+'Load Cases'!G8*'Joint Inputs'!$C$15),ABS('Load Cases'!I9+'Load Cases'!G9*'Joint Inputs'!$C$15),ABS('Load Cases'!I10+'Load Cases'!G10*'Joint Inputs'!$C$15),ABS('Load Cases'!I11+'Load Cases'!G11*'Joint Inputs'!$C$15),ABS('Load Cases'!I12+'Load Cases'!G12*'Joint Inputs'!$C$15),ABS('Load Cases'!I13+'Load Cases'!G13*'Joint Inputs'!$C$15),ABS('Load Cases'!I14+'Load Cases'!G14*'Joint Inputs'!$C$15),ABS('Load Cases'!I15+'Load Cases'!G15*'Joint Inputs'!$C$15),ABS('Load Cases'!I16+'Load Cases'!G16*'Joint Inputs'!$C$15),ABS('Load Cases'!I17+'Load Cases'!G17*'Joint Inputs'!$C$15),ABS('Load Cases'!I18+'Load Cases'!G18*'Joint Inputs'!$C$15),ABS('Load Cases'!I19+'Load Cases'!G19*'Joint Inputs'!$C$15),ABS('Load Cases'!I20+'Load Cases'!G20*'Joint Inputs'!$C$15),ABS('Load Cases'!I21+'Load Cases'!G21*'Joint Inputs'!$C$15),ABS('Load Cases'!I22+'Load Cases'!G22*'Joint Inputs'!$C$15),ABS('Load Cases'!I23+'Load Cases'!G23*'Joint Inputs'!$C$15),ABS('Load Cases'!I24+'Load Cases'!G24*'Joint Inputs'!$C$15),ABS('Load Cases'!I25+'Load Cases'!G25*'Joint Inputs'!$C$15),ABS('Load Cases'!I26+'Load Cases'!G26*'Joint Inputs'!$C$15),ABS('Load Cases'!I27+'Load Cases'!G27*'Joint Inputs'!$C$15),ABS('Load Cases'!I28+'Load Cases'!G28*'Joint Inputs'!$C$15),ABS('Load Cases'!I29+'Load Cases'!G29*'Joint Inputs'!$C$15),ABS('Load Cases'!I30+'Load Cases'!G30*'Joint Inputs'!$C$15),ABS('Load Cases'!I31+'Load Cases'!G31*'Joint Inputs'!$C$15),ABS('Load Cases'!I32+'Load Cases'!G32*'Joint Inputs'!$C$15),ABS('Load Cases'!I33+'Load Cases'!G33*'Joint Inputs'!$C$15),ABS('Load Cases'!I34+'Load Cases'!G34*'Joint Inputs'!$C$15),ABS('Load Cases'!I35+'Load Cases'!G35*'Joint Inputs'!$C$15),ABS('Load Cases'!I36+'Load Cases'!G36*'Joint Inputs'!$C$15),ABS('Load Cases'!I37+'Load Cases'!G37*'Joint Inputs'!$C$15)),"")</x:f>
      </x:c>
      <x:c r="C8" s="24" t="str">
        <x:f>IF(AND(COUNT('Load Cases'!G6:G37)=32,ISNUMBER('Joint Inputs'!$D$15)),MAX(ABS('Load Cases'!I6+'Load Cases'!G6*'Joint Inputs'!$D$15),ABS('Load Cases'!I7+'Load Cases'!G7*'Joint Inputs'!$D$15),ABS('Load Cases'!I8+'Load Cases'!G8*'Joint Inputs'!$D$15),ABS('Load Cases'!I9+'Load Cases'!G9*'Joint Inputs'!$D$15),ABS('Load Cases'!I10+'Load Cases'!G10*'Joint Inputs'!$D$15),ABS('Load Cases'!I11+'Load Cases'!G11*'Joint Inputs'!$D$15),ABS('Load Cases'!I12+'Load Cases'!G12*'Joint Inputs'!$D$15),ABS('Load Cases'!I13+'Load Cases'!G13*'Joint Inputs'!$D$15),ABS('Load Cases'!I14+'Load Cases'!G14*'Joint Inputs'!$D$15),ABS('Load Cases'!I15+'Load Cases'!G15*'Joint Inputs'!$D$15),ABS('Load Cases'!I16+'Load Cases'!G16*'Joint Inputs'!$D$15),ABS('Load Cases'!I17+'Load Cases'!G17*'Joint Inputs'!$D$15),ABS('Load Cases'!I18+'Load Cases'!G18*'Joint Inputs'!$D$15),ABS('Load Cases'!I19+'Load Cases'!G19*'Joint Inputs'!$D$15),ABS('Load Cases'!I20+'Load Cases'!G20*'Joint Inputs'!$D$15),ABS('Load Cases'!I21+'Load Cases'!G21*'Joint Inputs'!$D$15),ABS('Load Cases'!I22+'Load Cases'!G22*'Joint Inputs'!$D$15),ABS('Load Cases'!I23+'Load Cases'!G23*'Joint Inputs'!$D$15),ABS('Load Cases'!I24+'Load Cases'!G24*'Joint Inputs'!$D$15),ABS('Load Cases'!I25+'Load Cases'!G25*'Joint Inputs'!$D$15),ABS('Load Cases'!I26+'Load Cases'!G26*'Joint Inputs'!$D$15),ABS('Load Cases'!I27+'Load Cases'!G27*'Joint Inputs'!$D$15),ABS('Load Cases'!I28+'Load Cases'!G28*'Joint Inputs'!$D$15),ABS('Load Cases'!I29+'Load Cases'!G29*'Joint Inputs'!$D$15),ABS('Load Cases'!I30+'Load Cases'!G30*'Joint Inputs'!$D$15),ABS('Load Cases'!I31+'Load Cases'!G31*'Joint Inputs'!$D$15),ABS('Load Cases'!I32+'Load Cases'!G32*'Joint Inputs'!$D$15),ABS('Load Cases'!I33+'Load Cases'!G33*'Joint Inputs'!$D$15),ABS('Load Cases'!I34+'Load Cases'!G34*'Joint Inputs'!$D$15),ABS('Load Cases'!I35+'Load Cases'!G35*'Joint Inputs'!$D$15),ABS('Load Cases'!I36+'Load Cases'!G36*'Joint Inputs'!$D$15),ABS('Load Cases'!I37+'Load Cases'!G37*'Joint Inputs'!$D$15)),"")</x:f>
      </x:c>
      <x:c r="D8" s="9" t="str">
        <x:v>lbf in</x:v>
      </x:c>
      <x:c r="E8" s="9" t="str">
        <x:v>max |My_spine + P x_joint| across the static cases.</x:v>
      </x:c>
    </x:row>
    <x:row r="9" ht="45" customHeight="1">
      <x:c r="A9" s="3" t="str">
        <x:v>Left bar support moment</x:v>
      </x:c>
      <x:c r="B9" s="25" t="str">
        <x:f>IF(AND(AND('String Schedule'!$B$28="INPUTS RECORDED",AND(ISNUMBER('Stock Inputs'!$C$12),'Stock Inputs'!$C$12&gt;0,ISNUMBER('Stock Inputs'!$C$13),'Stock Inputs'!$C$13&gt;0),'Stock Inputs'!$C$29="YES",'Stock Inputs'!$C$30="YES"),'Joint Inputs'!$C$60="YES",AND(ISNUMBER('Joint Inputs'!$C$13),ISNUMBER('Joint Inputs'!$C$14)),'Joint Inputs'!$C$14&gt;'Joint Inputs'!$C$13,COUNT('Joint Inputs'!D64:D68)=5),'String Schedule'!$M$6*MAX('Joint Inputs'!$C$13-'Joint Inputs'!D64,0)+'String Schedule'!$M$7*MAX('Joint Inputs'!$C$13-'Joint Inputs'!D65,0)+'String Schedule'!$M$8*MAX('Joint Inputs'!$C$13-'Joint Inputs'!D66,0)+'String Schedule'!$M$9*MAX('Joint Inputs'!$C$13-'Joint Inputs'!D67,0)+'String Schedule'!$M$10*MAX('Joint Inputs'!$C$13-'Joint Inputs'!D68,0),"")</x:f>
      </x:c>
      <x:c r="C9" s="25" t="str">
        <x:f>IF(AND(AND('String Schedule'!$B$28="INPUTS RECORDED",AND(ISNUMBER('Stock Inputs'!$C$12),'Stock Inputs'!$C$12&gt;0,ISNUMBER('Stock Inputs'!$C$13),'Stock Inputs'!$C$13&gt;0),'Stock Inputs'!$C$29="YES",'Stock Inputs'!$C$30="YES"),'Joint Inputs'!$D$60="YES",AND(ISNUMBER('Joint Inputs'!$D$13),ISNUMBER('Joint Inputs'!$D$14)),'Joint Inputs'!$D$14&gt;'Joint Inputs'!$D$13,COUNT('Joint Inputs'!D69:D73)=5),'String Schedule'!$M$6*MAX('Joint Inputs'!$D$13-'Joint Inputs'!D69,0)+'String Schedule'!$M$7*MAX('Joint Inputs'!$D$13-'Joint Inputs'!D70,0)+'String Schedule'!$M$8*MAX('Joint Inputs'!$D$13-'Joint Inputs'!D71,0)+'String Schedule'!$M$9*MAX('Joint Inputs'!$D$13-'Joint Inputs'!D72,0)+'String Schedule'!$M$10*MAX('Joint Inputs'!$D$13-'Joint Inputs'!D73,0),"")</x:f>
      </x:c>
      <x:c r="D9" s="3" t="str">
        <x:v>lbf in</x:v>
      </x:c>
      <x:c r="E9" s="3" t="str">
        <x:v>sum T_upper x max(x_left_support - x_load, 0).</x:v>
      </x:c>
    </x:row>
    <x:row r="10" ht="45" customHeight="1">
      <x:c r="A10" s="9" t="str">
        <x:v>Right bar support moment</x:v>
      </x:c>
      <x:c r="B10" s="24" t="str">
        <x:f>IF(AND(AND('String Schedule'!$B$28="INPUTS RECORDED",AND(ISNUMBER('Stock Inputs'!$C$12),'Stock Inputs'!$C$12&gt;0,ISNUMBER('Stock Inputs'!$C$13),'Stock Inputs'!$C$13&gt;0),'Stock Inputs'!$C$29="YES",'Stock Inputs'!$C$30="YES"),'Joint Inputs'!$C$60="YES",AND(ISNUMBER('Joint Inputs'!$C$13),ISNUMBER('Joint Inputs'!$C$14)),'Joint Inputs'!$C$14&gt;'Joint Inputs'!$C$13,COUNT('Joint Inputs'!D64:D68)=5),'String Schedule'!$M$6*MAX('Joint Inputs'!D64-'Joint Inputs'!$C$14,0)+'String Schedule'!$M$7*MAX('Joint Inputs'!D65-'Joint Inputs'!$C$14,0)+'String Schedule'!$M$8*MAX('Joint Inputs'!D66-'Joint Inputs'!$C$14,0)+'String Schedule'!$M$9*MAX('Joint Inputs'!D67-'Joint Inputs'!$C$14,0)+'String Schedule'!$M$10*MAX('Joint Inputs'!D68-'Joint Inputs'!$C$14,0),"")</x:f>
      </x:c>
      <x:c r="C10" s="24" t="str">
        <x:f>IF(AND(AND('String Schedule'!$B$28="INPUTS RECORDED",AND(ISNUMBER('Stock Inputs'!$C$12),'Stock Inputs'!$C$12&gt;0,ISNUMBER('Stock Inputs'!$C$13),'Stock Inputs'!$C$13&gt;0),'Stock Inputs'!$C$29="YES",'Stock Inputs'!$C$30="YES"),'Joint Inputs'!$D$60="YES",AND(ISNUMBER('Joint Inputs'!$D$13),ISNUMBER('Joint Inputs'!$D$14)),'Joint Inputs'!$D$14&gt;'Joint Inputs'!$D$13,COUNT('Joint Inputs'!D69:D73)=5),'String Schedule'!$M$6*MAX('Joint Inputs'!D69-'Joint Inputs'!$D$14,0)+'String Schedule'!$M$7*MAX('Joint Inputs'!D70-'Joint Inputs'!$D$14,0)+'String Schedule'!$M$8*MAX('Joint Inputs'!D71-'Joint Inputs'!$D$14,0)+'String Schedule'!$M$9*MAX('Joint Inputs'!D72-'Joint Inputs'!$D$14,0)+'String Schedule'!$M$10*MAX('Joint Inputs'!D73-'Joint Inputs'!$D$14,0),"")</x:f>
      </x:c>
      <x:c r="D10" s="9" t="str">
        <x:v>lbf in</x:v>
      </x:c>
      <x:c r="E10" s="9" t="str">
        <x:v>sum T_upper x max(x_load - x_right_support, 0).</x:v>
      </x:c>
    </x:row>
    <x:row r="11" ht="45" customHeight="1">
      <x:c r="A11" s="3" t="str">
        <x:v>Governing bar root moment</x:v>
      </x:c>
      <x:c r="B11" s="25" t="str">
        <x:f>IF(COUNT(B9:B10)=2,MAX(B9:B10),"")</x:f>
      </x:c>
      <x:c r="C11" s="25" t="str">
        <x:f>IF(COUNT(C9:C10)=2,MAX(C9:C10),"")</x:f>
      </x:c>
      <x:c r="D11" s="3" t="str">
        <x:v>lbf in</x:v>
      </x:c>
      <x:c r="E11" s="3" t="str">
        <x:v>Maximum of left/right. Simple cantilever screen needs confirmed load/support model.</x:v>
      </x:c>
    </x:row>
    <x:row r="12" ht="45" customHeight="1">
      <x:c r="A12" s="9" t="str">
        <x:v>Bar gross Iy</x:v>
      </x:c>
      <x:c r="B12" s="24" t="str">
        <x:f>IF(AND(ISNUMBER('Joint Inputs'!$C$11),'Joint Inputs'!$C$11&gt;0,ISNUMBER('Joint Inputs'!$C$12),'Joint Inputs'!$C$12&gt;0),'Joint Inputs'!$C$11*'Joint Inputs'!$C$12^3/12,"")</x:f>
      </x:c>
      <x:c r="C12" s="24" t="str">
        <x:f>IF(AND(ISNUMBER('Joint Inputs'!$D$11),'Joint Inputs'!$D$11&gt;0,ISNUMBER('Joint Inputs'!$D$12),'Joint Inputs'!$D$12&gt;0),'Joint Inputs'!$D$11*'Joint Inputs'!$D$12^3/12,"")</x:f>
      </x:c>
      <x:c r="D12" s="9" t="str">
        <x:v>in^4</x:v>
      </x:c>
      <x:c r="E12" s="9" t="str">
        <x:v>By x Hz^3 / 12 for a bar spanning x under z loads.</x:v>
      </x:c>
    </x:row>
    <x:row r="13" ht="45" customHeight="1">
      <x:c r="A13" s="3" t="str">
        <x:v>Bar gross Sy</x:v>
      </x:c>
      <x:c r="B13" s="25" t="str">
        <x:f>IF(AND(ISNUMBER('Joint Inputs'!$C$11),'Joint Inputs'!$C$11&gt;0,ISNUMBER('Joint Inputs'!$C$12),'Joint Inputs'!$C$12&gt;0),'Joint Inputs'!$C$11*'Joint Inputs'!$C$12^2/6,"")</x:f>
      </x:c>
      <x:c r="C13" s="25" t="str">
        <x:f>IF(AND(ISNUMBER('Joint Inputs'!$D$11),'Joint Inputs'!$D$11&gt;0,ISNUMBER('Joint Inputs'!$D$12),'Joint Inputs'!$D$12&gt;0),'Joint Inputs'!$D$11*'Joint Inputs'!$D$12^2/6,"")</x:f>
      </x:c>
      <x:c r="D13" s="3" t="str">
        <x:v>in^3</x:v>
      </x:c>
      <x:c r="E13" s="3" t="str">
        <x:v>By x Hz^2 / 6. Do not swap the dimensions.</x:v>
      </x:c>
    </x:row>
    <x:row r="14" ht="45" customHeight="1">
      <x:c r="A14" s="9" t="str">
        <x:v>Bar gross bending stress</x:v>
      </x:c>
      <x:c r="B14" s="24" t="str">
        <x:f>IF(AND(ISNUMBER(B11),AND(ISNUMBER(B13),B13&gt;0)),B11/B13,"")</x:f>
      </x:c>
      <x:c r="C14" s="24" t="str">
        <x:f>IF(AND(ISNUMBER(C11),AND(ISNUMBER(C13),C13&gt;0)),C11/C13,"")</x:f>
      </x:c>
      <x:c r="D14" s="9" t="str">
        <x:v>psi</x:v>
      </x:c>
      <x:c r="E14" s="9" t="str">
        <x:v>M_root/Sy_gross; unperforated comparison only.</x:v>
      </x:c>
    </x:row>
    <x:row r="15" ht="45" customHeight="1">
      <x:c r="A15" s="3" t="str">
        <x:v>Bar net bending stress</x:v>
      </x:c>
      <x:c r="B15" s="25" t="str">
        <x:f>IF(AND(ISNUMBER(B11),AND(ISNUMBER('Joint Inputs'!$C$44),'Joint Inputs'!$C$44&gt;0)),B11/'Joint Inputs'!$C$44,"")</x:f>
      </x:c>
      <x:c r="C15" s="25" t="str">
        <x:f>IF(AND(ISNUMBER(C11),AND(ISNUMBER('Joint Inputs'!$D$44),'Joint Inputs'!$D$44&gt;0)),C11/'Joint Inputs'!$D$44,"")</x:f>
      </x:c>
      <x:c r="D15" s="3" t="str">
        <x:v>psi</x:v>
      </x:c>
      <x:c r="E15" s="3" t="str">
        <x:v>M_root/Sy_net; governing cut must also be checked away from the support root.</x:v>
      </x:c>
    </x:row>
    <x:row r="16" ht="45" customHeight="1">
      <x:c r="A16" s="9" t="str">
        <x:v>Vertical bolt-center spacing</x:v>
      </x:c>
      <x:c r="B16" s="24" t="str">
        <x:f>IF(AND(ISNUMBER('Joint Inputs'!$C$35),ISNUMBER('Joint Inputs'!$C$37)),ABS('Joint Inputs'!$C$37-'Joint Inputs'!$C$35),"")</x:f>
      </x:c>
      <x:c r="C16" s="24" t="str">
        <x:f>IF(AND(ISNUMBER('Joint Inputs'!$D$35),ISNUMBER('Joint Inputs'!$D$37)),ABS('Joint Inputs'!$D$37-'Joint Inputs'!$D$35),"")</x:f>
      </x:c>
      <x:c r="D16" s="9" t="str">
        <x:v>in</x:v>
      </x:c>
      <x:c r="E16" s="9" t="str">
        <x:v>abs(z2-z1). This is not automatically the contact lever h_eff.</x:v>
      </x:c>
    </x:row>
    <x:row r="17" ht="45" customHeight="1">
      <x:c r="A17" s="3" t="str">
        <x:v>Mx-only tension-row force before Q</x:v>
      </x:c>
      <x:c r="B17" s="25" t="str">
        <x:f>IF(AND(ISNUMBER(B7),AND(ISNUMBER('Joint Inputs'!$C$38),'Joint Inputs'!$C$38&gt;0)),B7/'Joint Inputs'!$C$38,"")</x:f>
      </x:c>
      <x:c r="C17" s="25" t="str">
        <x:f>IF(AND(ISNUMBER(C7),AND(ISNUMBER('Joint Inputs'!$D$38),'Joint Inputs'!$D$38&gt;0)),C7/'Joint Inputs'!$D$38,"")</x:f>
      </x:c>
      <x:c r="D17" s="3" t="str">
        <x:v>lbf</x:v>
      </x:c>
      <x:c r="E17" s="3" t="str">
        <x:v>|Mx|/h_eff; excludes direct normal load and other-axis coupling.</x:v>
      </x:c>
    </x:row>
    <x:row r="18" ht="45" customHeight="1">
      <x:c r="A18" s="9" t="str">
        <x:v>Mx-only force/bolt including row Q</x:v>
      </x:c>
      <x:c r="B18" s="24" t="str">
        <x:f>IF(AND(ISNUMBER(B17),AND(ISNUMBER('Joint Inputs'!$C$48),'Joint Inputs'!$C$48&gt;0),AND(ISNUMBER('Joint Inputs'!$C$49),'Joint Inputs'!$C$49&gt;=0),ISNUMBER('Joint Inputs'!$C$18),'Joint Inputs'!$C$48&lt;='Joint Inputs'!$C$18),(B17+'Joint Inputs'!$C$49)/'Joint Inputs'!$C$48,"")</x:f>
      </x:c>
      <x:c r="C18" s="24" t="str">
        <x:f>IF(AND(ISNUMBER(C17),AND(ISNUMBER('Joint Inputs'!$D$48),'Joint Inputs'!$D$48&gt;0),AND(ISNUMBER('Joint Inputs'!$D$49),'Joint Inputs'!$D$49&gt;=0),ISNUMBER('Joint Inputs'!$D$18),'Joint Inputs'!$D$48&lt;='Joint Inputs'!$D$18),(C17+'Joint Inputs'!$D$49)/'Joint Inputs'!$D$48,"")</x:f>
      </x:c>
      <x:c r="D18" s="9" t="str">
        <x:v>lbf</x:v>
      </x:c>
      <x:c r="E18" s="9" t="str">
        <x:v>(|Mx|/h_eff + Q_row)/n_t. Review actual prying and contact, then all combined cases.</x:v>
      </x:c>
    </x:row>
    <x:row r="19" ht="45" customHeight="1">
      <x:c r="A19" s="3" t="str">
        <x:v>Equal-share vertical shear/bolt</x:v>
      </x:c>
      <x:c r="B19" s="25" t="str">
        <x:f>IF(AND(ISNUMBER(B6),AND(ISNUMBER('Joint Inputs'!$C$47),'Joint Inputs'!$C$47&gt;0),ISNUMBER('Joint Inputs'!$C$18),'Joint Inputs'!$C$47&lt;='Joint Inputs'!$C$18),B6/'Joint Inputs'!$C$47,"")</x:f>
      </x:c>
      <x:c r="C19" s="25" t="str">
        <x:f>IF(AND(ISNUMBER(C6),AND(ISNUMBER('Joint Inputs'!$D$47),'Joint Inputs'!$D$47&gt;0),ISNUMBER('Joint Inputs'!$D$18),'Joint Inputs'!$D$47&lt;='Joint Inputs'!$D$18),C6/'Joint Inputs'!$D$47,"")</x:f>
      </x:c>
      <x:c r="D19" s="3" t="str">
        <x:v>lbf</x:v>
      </x:c>
      <x:c r="E19" s="3" t="str">
        <x:v>P/n_s screen only. Does not include bolt-group eccentricity, My or load redistribution.</x:v>
      </x:c>
    </x:row>
    <x:row r="20" ht="45" customHeight="1">
      <x:c r="A20" s="9" t="str">
        <x:v>Collar horizontal face-couple force</x:v>
      </x:c>
      <x:c r="B20" s="24" t="str">
        <x:f>IF(AND(ISNUMBER(B7),AND(ISNUMBER('Joint Inputs'!$C$39),'Joint Inputs'!$C$39&gt;0)),B7/'Joint Inputs'!$C$39,"")</x:f>
      </x:c>
      <x:c r="C20" s="24" t="str">
        <x:f>IF(AND(ISNUMBER(C7),AND(ISNUMBER('Joint Inputs'!$D$39),'Joint Inputs'!$D$39&gt;0)),C7/'Joint Inputs'!$D$39,"")</x:f>
      </x:c>
      <x:c r="D20" s="9" t="str">
        <x:v>lbf</x:v>
      </x:c>
      <x:c r="E20" s="9" t="str">
        <x:v>|Mx|/a_eff screen only; requires real front/back contact and positive vertical support.</x:v>
      </x:c>
    </x:row>
    <x:row r="21" ht="45" customHeight="1">
      <x:c r="A21" s="3" t="str">
        <x:v>Collar perpendicular-grain pressure</x:v>
      </x:c>
      <x:c r="B21" s="25" t="str">
        <x:f>IF(AND(ISNUMBER(B20),AND(ISNUMBER('Joint Inputs'!$C$40),'Joint Inputs'!$C$40&gt;0)),B20/'Joint Inputs'!$C$40,"")</x:f>
      </x:c>
      <x:c r="C21" s="25" t="str">
        <x:f>IF(AND(ISNUMBER(C20),AND(ISNUMBER('Joint Inputs'!$D$40),'Joint Inputs'!$D$40&gt;0)),C20/'Joint Inputs'!$D$40,"")</x:f>
      </x:c>
      <x:c r="D21" s="3" t="str">
        <x:v>psi</x:v>
      </x:c>
      <x:c r="E21" s="3" t="str">
        <x:v>Face-couple force/effective contact area. Contact distribution/edge crushing still require review.</x:v>
      </x:c>
    </x:row>
    <x:row r="22" ht="45" customHeight="1">
      <x:c r="A22" s="9" t="str">
        <x:v>Washer annular geometric area</x:v>
      </x:c>
      <x:c r="B22" s="24" t="str">
        <x:f>IF(AND(AND(ISNUMBER('Joint Inputs'!$C$30),'Joint Inputs'!$C$30&gt;0,ISNUMBER('Joint Inputs'!$C$31),'Joint Inputs'!$C$31&gt;0),'Joint Inputs'!$C$30&gt;'Joint Inputs'!$C$31),PI()*('Joint Inputs'!$C$30^2-'Joint Inputs'!$C$31^2)/4,"")</x:f>
      </x:c>
      <x:c r="C22" s="24" t="str">
        <x:f>IF(AND(AND(ISNUMBER('Joint Inputs'!$D$30),'Joint Inputs'!$D$30&gt;0,ISNUMBER('Joint Inputs'!$D$31),'Joint Inputs'!$D$31&gt;0),'Joint Inputs'!$D$30&gt;'Joint Inputs'!$D$31),PI()*('Joint Inputs'!$D$30^2-'Joint Inputs'!$D$31^2)/4,"")</x:f>
      </x:c>
      <x:c r="D22" s="9" t="str">
        <x:v>in^2</x:v>
      </x:c>
      <x:c r="E22" s="9" t="str">
        <x:v>pi(OD^2-ID^2)/4. This is not an effective bearing area or capacity.</x:v>
      </x:c>
    </x:row>
    <x:row r="23" ht="45" customHeight="1">
      <x:c r="A23" s="3" t="str">
        <x:v>Minimum left end-hole allowance</x:v>
      </x:c>
      <x:c r="B23" s="25" t="str">
        <x:f>IF(AND(AND(ISNUMBER('Joint Inputs'!$C$10),'Joint Inputs'!$C$10&gt;0),ISNUMBER('Joint Inputs'!$C$59),COUNT('Joint Inputs'!D64:D68)=5),MIN('Joint Inputs'!D64:D68)-('Joint Inputs'!$C$59-'Joint Inputs'!$C$10/2),"")</x:f>
      </x:c>
      <x:c r="C23" s="25" t="str">
        <x:f>IF(AND(AND(ISNUMBER('Joint Inputs'!$D$10),'Joint Inputs'!$D$10&gt;0),ISNUMBER('Joint Inputs'!$D$59),COUNT('Joint Inputs'!D69:D73)=5),MIN('Joint Inputs'!D69:D73)-('Joint Inputs'!$D$59-'Joint Inputs'!$D$10/2),"")</x:f>
      </x:c>
      <x:c r="D23" s="3" t="str">
        <x:v>in</x:v>
      </x:c>
      <x:c r="E23" s="3" t="str">
        <x:v>Minimum hole x minus left bar edge x; center-to-end distance.</x:v>
      </x:c>
    </x:row>
    <x:row r="24" ht="45" customHeight="1">
      <x:c r="A24" s="9" t="str">
        <x:v>Minimum right end-hole allowance</x:v>
      </x:c>
      <x:c r="B24" s="24" t="str">
        <x:f>IF(AND(AND(ISNUMBER('Joint Inputs'!$C$10),'Joint Inputs'!$C$10&gt;0),ISNUMBER('Joint Inputs'!$C$59),COUNT('Joint Inputs'!D64:D68)=5),'Joint Inputs'!$C$59+'Joint Inputs'!$C$10/2-MAX('Joint Inputs'!D64:D68),"")</x:f>
      </x:c>
      <x:c r="C24" s="24" t="str">
        <x:f>IF(AND(AND(ISNUMBER('Joint Inputs'!$D$10),'Joint Inputs'!$D$10&gt;0),ISNUMBER('Joint Inputs'!$D$59),COUNT('Joint Inputs'!D69:D73)=5),'Joint Inputs'!$D$59+'Joint Inputs'!$D$10/2-MAX('Joint Inputs'!D69:D73),"")</x:f>
      </x:c>
      <x:c r="D24" s="9" t="str">
        <x:v>in</x:v>
      </x:c>
      <x:c r="E24" s="9" t="str">
        <x:v>Right bar edge x minus maximum hole x.</x:v>
      </x:c>
    </x:row>
    <x:row r="25" ht="45" customHeight="1">
      <x:c r="A25" s="3" t="str">
        <x:v>Left allowance vs selected requirement</x:v>
      </x:c>
      <x:c r="B25" s="3" t="str">
        <x:f>IF(AND(ISNUMBER(B23),AND(ISNUMBER('Joint Inputs'!$C$50),'Joint Inputs'!$C$50&gt;0)),IF(B23&gt;='Joint Inputs'!$C$50,"GEOMETRY RECORDED","EXCEEDS / REVISE"),"OPEN")</x:f>
        <x:v>OPEN</x:v>
      </x:c>
      <x:c r="C25" s="3" t="str">
        <x:f>IF(AND(ISNUMBER(C23),AND(ISNUMBER('Joint Inputs'!$D$50),'Joint Inputs'!$D$50&gt;0)),IF(C23&gt;='Joint Inputs'!$D$50,"GEOMETRY RECORDED","EXCEEDS / REVISE"),"OPEN")</x:f>
        <x:v>OPEN</x:v>
      </x:c>
      <x:c r="D25" s="3" t="str">
        <x:v>status</x:v>
      </x:c>
      <x:c r="E25" s="3" t="str">
        <x:v>Geometry check only; actual hole diameter and tear-out checks remain separate.</x:v>
      </x:c>
    </x:row>
    <x:row r="26" ht="45" customHeight="1">
      <x:c r="A26" s="9" t="str">
        <x:v>Right allowance vs selected requirement</x:v>
      </x:c>
      <x:c r="B26" s="9" t="str">
        <x:f>IF(AND(ISNUMBER(B24),AND(ISNUMBER('Joint Inputs'!$C$51),'Joint Inputs'!$C$51&gt;0)),IF(B24&gt;='Joint Inputs'!$C$51,"GEOMETRY RECORDED","EXCEEDS / REVISE"),"OPEN")</x:f>
        <x:v>OPEN</x:v>
      </x:c>
      <x:c r="C26" s="9" t="str">
        <x:f>IF(AND(ISNUMBER(C24),AND(ISNUMBER('Joint Inputs'!$D$51),'Joint Inputs'!$D$51&gt;0)),IF(C24&gt;='Joint Inputs'!$D$51,"GEOMETRY RECORDED","EXCEEDS / REVISE"),"OPEN")</x:f>
        <x:v>OPEN</x:v>
      </x:c>
      <x:c r="D26" s="9" t="str">
        <x:v>status</x:v>
      </x:c>
      <x:c r="E26" s="9" t="str">
        <x:v>No generic 2D approval is used.</x:v>
      </x:c>
    </x:row>
    <x:row r="27" ht="45" customHeight="1">
      <x:c r="A27" s="3" t="str">
        <x:v>Same-bar vertical fit screen</x:v>
      </x:c>
      <x:c r="B27" s="3" t="str">
        <x:f>IF('Joint Inputs'!$C$58="NO","SEPARATE DETAIL",IF(AND('Joint Inputs'!$C$58="YES",'Joint Inputs'!$C$18=2,ISNUMBER(B16),B16&gt;0,AND(ISNUMBER('Joint Inputs'!$C$12),'Joint Inputs'!$C$12&gt;0,ISNUMBER('Joint Inputs'!$C$52),'Joint Inputs'!$C$52&gt;0,ISNUMBER('Joint Inputs'!$C$53),'Joint Inputs'!$C$53&gt;0,ISNUMBER('Joint Inputs'!$C$54),'Joint Inputs'!$C$54&gt;0,ISNUMBER('Joint Inputs'!$C$55),'Joint Inputs'!$C$55&gt;0)),IF(AND('Joint Inputs'!$C$12&gt;=B16+'Joint Inputs'!$C$52+'Joint Inputs'!$C$53,'Joint Inputs'!$C$54&gt;='Joint Inputs'!$C$52,'Joint Inputs'!$C$55&gt;='Joint Inputs'!$C$53),"GEOMETRY RECORDED","EXCEEDS / REVISE"),"OPEN"))</x:f>
        <x:v>OPEN</x:v>
      </x:c>
      <x:c r="C27" s="3" t="str">
        <x:f>IF('Joint Inputs'!$D$58="NO","SEPARATE DETAIL",IF(AND('Joint Inputs'!$D$58="YES",'Joint Inputs'!$D$18=2,ISNUMBER(C16),C16&gt;0,AND(ISNUMBER('Joint Inputs'!$D$12),'Joint Inputs'!$D$12&gt;0,ISNUMBER('Joint Inputs'!$D$52),'Joint Inputs'!$D$52&gt;0,ISNUMBER('Joint Inputs'!$D$53),'Joint Inputs'!$D$53&gt;0,ISNUMBER('Joint Inputs'!$D$54),'Joint Inputs'!$D$54&gt;0,ISNUMBER('Joint Inputs'!$D$55),'Joint Inputs'!$D$55&gt;0)),IF(AND('Joint Inputs'!$D$12&gt;=C16+'Joint Inputs'!$D$52+'Joint Inputs'!$D$53,'Joint Inputs'!$D$54&gt;='Joint Inputs'!$D$52,'Joint Inputs'!$D$55&gt;='Joint Inputs'!$D$53),"GEOMETRY RECORDED","EXCEEDS / REVISE"),"OPEN"))</x:f>
        <x:v>OPEN</x:v>
      </x:c>
      <x:c r="D27" s="3" t="str">
        <x:v>status</x:v>
      </x:c>
      <x:c r="E27" s="3" t="str">
        <x:v>Hz &gt;= |z2-z1| + required top + bottom margins; actual margins must also comply.</x:v>
      </x:c>
    </x:row>
    <x:row r="28" ht="45" customHeight="1">
      <x:c r="A28" s="9" t="str">
        <x:v>Hole/spacing review status</x:v>
      </x:c>
      <x:c r="B28" s="9" t="str">
        <x:f>IF(AND('Joint Inputs'!$C$56="YES",'Joint Inputs'!$C$57&lt;&gt;""),"REVIEW RECORDED","OPEN")</x:f>
        <x:v>OPEN</x:v>
      </x:c>
      <x:c r="C28" s="9" t="str">
        <x:f>IF(AND('Joint Inputs'!$D$56="YES",'Joint Inputs'!$D$57&lt;&gt;""),"REVIEW RECORDED","OPEN")</x:f>
        <x:v>OPEN</x:v>
      </x:c>
      <x:c r="D28" s="9" t="str">
        <x:v>status</x:v>
      </x:c>
      <x:c r="E28" s="9" t="str">
        <x:v>Reviewer must check wood and metal edge/end distance and group effects.</x:v>
      </x:c>
    </x:row>
    <x:row r="29" ht="28" customHeight="1">
      <x:c r="A29" s="3"/>
      <x:c r="B29" s="3"/>
      <x:c r="C29" s="3"/>
      <x:c r="D29" s="3"/>
      <x:c r="E29" s="3"/>
    </x:row>
    <x:row r="30" ht="30" customHeight="1">
      <x:c r="A30" s="8" t="str">
        <x:v>Reviewer calculations required - enter outputs and evidence on Review Limits</x:v>
      </x:c>
      <x:c r="B30" s="8" t="str">
        <x:v>Reviewer calculations required - enter outputs and evidence on Review Limits</x:v>
      </x:c>
      <x:c r="C30" s="8" t="str">
        <x:v>Reviewer calculations required - enter outputs and evidence on Review Limits</x:v>
      </x:c>
      <x:c r="D30" s="8" t="str">
        <x:v>Reviewer calculations required - enter outputs and evidence on Review Limits</x:v>
      </x:c>
      <x:c r="E30" s="8" t="str">
        <x:v>Reviewer calculations required - enter outputs and evidence on Review Limits</x:v>
      </x:c>
    </x:row>
    <x:row r="31" ht="60" customHeight="1">
      <x:c r="A31" s="3" t="str">
        <x:v>Bolt group</x:v>
      </x:c>
      <x:c r="B31" s="3" t="str">
        <x:v>Resolve actual shear-plane topology and eccentric force distribution; use bolt coordinates and stiffness/contact assumptions. P/2 is not a connection design.</x:v>
      </x:c>
      <x:c r="C31" s="3" t="str">
        <x:v>Resolve actual shear-plane topology and eccentric force distribution; use bolt coordinates and stiffness/contact assumptions. P/2 is not a connection design.</x:v>
      </x:c>
      <x:c r="D31" s="3" t="str">
        <x:v>Resolve actual shear-plane topology and eccentric force distribution; use bolt coordinates and stiffness/contact assumptions. P/2 is not a connection design.</x:v>
      </x:c>
      <x:c r="E31" s="3" t="str">
        <x:v>Resolve actual shear-plane topology and eccentric force distribution; use bolt coordinates and stiffness/contact assumptions. P/2 is not a connection design.</x:v>
      </x:c>
    </x:row>
    <x:row r="32" ht="60" customHeight="1">
      <x:c r="A32" s="9" t="str">
        <x:v>Steel fastener combined loading</x:v>
      </x:c>
      <x:c r="B32" s="9" t="str">
        <x:v>Verify shank/thread areas, grade and product data; tension plus shear interaction, bending, prying Q and load direction. Record exact method/standard and adjusted allowable.</x:v>
      </x:c>
      <x:c r="C32" s="9" t="str">
        <x:v>Verify shank/thread areas, grade and product data; tension plus shear interaction, bending, prying Q and load direction. Record exact method/standard and adjusted allowable.</x:v>
      </x:c>
      <x:c r="D32" s="9" t="str">
        <x:v>Verify shank/thread areas, grade and product data; tension plus shear interaction, bending, prying Q and load direction. Record exact method/standard and adjusted allowable.</x:v>
      </x:c>
      <x:c r="E32" s="9" t="str">
        <x:v>Verify shank/thread areas, grade and product data; tension plus shear interaction, bending, prying Q and load direction. Record exact method/standard and adjusted allowable.</x:v>
      </x:c>
    </x:row>
    <x:row r="33" ht="60" customHeight="1">
      <x:c r="A33" s="3" t="str">
        <x:v>Wood lateral connection</x:v>
      </x:c>
      <x:c r="B33" s="3" t="str">
        <x:v>Calculate all applicable dowel-yield modes using main/side member thickness, grain/load angle, specific gravity/embedding strength, fastener bending-yield strength and selected NDS basis. Apply geometry/group/service factors once.</x:v>
      </x:c>
      <x:c r="C33" s="3" t="str">
        <x:v>Calculate all applicable dowel-yield modes using main/side member thickness, grain/load angle, specific gravity/embedding strength, fastener bending-yield strength and selected NDS basis. Apply geometry/group/service factors once.</x:v>
      </x:c>
      <x:c r="D33" s="3" t="str">
        <x:v>Calculate all applicable dowel-yield modes using main/side member thickness, grain/load angle, specific gravity/embedding strength, fastener bending-yield strength and selected NDS basis. Apply geometry/group/service factors once.</x:v>
      </x:c>
      <x:c r="E33" s="3" t="str">
        <x:v>Calculate all applicable dowel-yield modes using main/side member thickness, grain/load angle, specific gravity/embedding strength, fastener bending-yield strength and selected NDS basis. Apply geometry/group/service factors once.</x:v>
      </x:c>
    </x:row>
    <x:row r="34" ht="60" customHeight="1">
      <x:c r="A34" s="9" t="str">
        <x:v>Wood local failures</x:v>
      </x:c>
      <x:c r="B34" s="9" t="str">
        <x:v>Check splitting, row/group tear-out, net section and loaded/unloaded edge/end spacing; do not equate F_e D t with an allowable bolt capacity.</x:v>
      </x:c>
      <x:c r="C34" s="9" t="str">
        <x:v>Check splitting, row/group tear-out, net section and loaded/unloaded edge/end spacing; do not equate F_e D t with an allowable bolt capacity.</x:v>
      </x:c>
      <x:c r="D34" s="9" t="str">
        <x:v>Check splitting, row/group tear-out, net section and loaded/unloaded edge/end spacing; do not equate F_e D t with an allowable bolt capacity.</x:v>
      </x:c>
      <x:c r="E34" s="9" t="str">
        <x:v>Check splitting, row/group tear-out, net section and loaded/unloaded edge/end spacing; do not equate F_e D t with an allowable bolt capacity.</x:v>
      </x:c>
    </x:row>
    <x:row r="35" ht="60" customHeight="1">
      <x:c r="A35" s="3" t="str">
        <x:v>Bar / plate / holes</x:v>
      </x:c>
      <x:c r="B35" s="3" t="str">
        <x:v>Check all critical net sections, bearing, hole tear-out, block shear, plate bending and deflection. Include bushings, tuner footprints and contact loads. Root stress alone may not govern.</x:v>
      </x:c>
      <x:c r="C35" s="3" t="str">
        <x:v>Check all critical net sections, bearing, hole tear-out, block shear, plate bending and deflection. Include bushings, tuner footprints and contact loads. Root stress alone may not govern.</x:v>
      </x:c>
      <x:c r="D35" s="3" t="str">
        <x:v>Check all critical net sections, bearing, hole tear-out, block shear, plate bending and deflection. Include bushings, tuner footprints and contact loads. Root stress alone may not govern.</x:v>
      </x:c>
      <x:c r="E35" s="3" t="str">
        <x:v>Check all critical net sections, bearing, hole tear-out, block shear, plate bending and deflection. Include bushings, tuner footprints and contact loads. Root stress alone may not govern.</x:v>
      </x:c>
    </x:row>
    <x:row r="36" ht="60" customHeight="1">
      <x:c r="A36" s="9" t="str">
        <x:v>Contact and slip</x:v>
      </x:c>
      <x:c r="B36" s="9" t="str">
        <x:v>Resolve effective contact patches, wood perpendicular-grain bearing, washer/plate bending and pull-through. Identify positive vertical restraint; friction alone is not credited.</x:v>
      </x:c>
      <x:c r="C36" s="9" t="str">
        <x:v>Resolve effective contact patches, wood perpendicular-grain bearing, washer/plate bending and pull-through. Identify positive vertical restraint; friction alone is not credited.</x:v>
      </x:c>
      <x:c r="D36" s="9" t="str">
        <x:v>Resolve effective contact patches, wood perpendicular-grain bearing, washer/plate bending and pull-through. Identify positive vertical restraint; friction alone is not credited.</x:v>
      </x:c>
      <x:c r="E36" s="9" t="str">
        <x:v>Resolve effective contact patches, wood perpendicular-grain bearing, washer/plate bending and pull-through. Identify positive vertical restraint; friction alone is not credited.</x:v>
      </x:c>
    </x:row>
    <x:row r="37" ht="60" customHeight="1">
      <x:c r="A37" s="3" t="str">
        <x:v>Upper versus lower</x:v>
      </x:c>
      <x:c r="B37" s="3" t="str">
        <x:v>Upper: tuner post, head block, winding and nut contact forces. Lower: hitch/ball end, bridge contact and base shoe. Do not assume the same connection result applies to both ends.</x:v>
      </x:c>
      <x:c r="C37" s="3" t="str">
        <x:v>Upper: tuner post, head block, winding and nut contact forces. Lower: hitch/ball end, bridge contact and base shoe. Do not assume the same connection result applies to both ends.</x:v>
      </x:c>
      <x:c r="D37" s="3" t="str">
        <x:v>Upper: tuner post, head block, winding and nut contact forces. Lower: hitch/ball end, bridge contact and base shoe. Do not assume the same connection result applies to both ends.</x:v>
      </x:c>
      <x:c r="E37" s="3" t="str">
        <x:v>Upper: tuner post, head block, winding and nut contact forces. Lower: hitch/ball end, bridge contact and base shoe. Do not assume the same connection result applies to both ends.</x:v>
      </x:c>
    </x:row>
    <x:row r="38" ht="60" customHeight="1">
      <x:c r="A38" s="9" t="str">
        <x:v>Serviceability</x:v>
      </x:c>
      <x:c r="B38" s="9" t="str">
        <x:v>Predict frame/bar deflection, joint rotation/slip and remaining vessel clearance at reviewed loads over intended duration. Attach acceptance values before any future observation.</x:v>
      </x:c>
      <x:c r="C38" s="9" t="str">
        <x:v>Predict frame/bar deflection, joint rotation/slip and remaining vessel clearance at reviewed loads over intended duration. Attach acceptance values before any future observation.</x:v>
      </x:c>
      <x:c r="D38" s="9" t="str">
        <x:v>Predict frame/bar deflection, joint rotation/slip and remaining vessel clearance at reviewed loads over intended duration. Attach acceptance values before any future observation.</x:v>
      </x:c>
      <x:c r="E38" s="9" t="str">
        <x:v>Predict frame/bar deflection, joint rotation/slip and remaining vessel clearance at reviewed loads over intended duration. Attach acceptance values before any future observation.</x:v>
      </x:c>
    </x:row>
    <x:row r="39" ht="60" customHeight="1">
      <x:c r="A39" s="3" t="str">
        <x:v>Other load cases</x:v>
      </x:c>
      <x:c r="B39" s="3" t="str">
        <x:v>Review tolerances, tuning imbalance, permitted retuning, applicable dynamic/broken-string, cyclic and long-term effects; state any justified exclusion. Anti-tip load cases remain separate.</x:v>
      </x:c>
      <x:c r="C39" s="3" t="str">
        <x:v>Review tolerances, tuning imbalance, permitted retuning, applicable dynamic/broken-string, cyclic and long-term effects; state any justified exclusion. Anti-tip load cases remain separate.</x:v>
      </x:c>
      <x:c r="D39" s="3" t="str">
        <x:v>Review tolerances, tuning imbalance, permitted retuning, applicable dynamic/broken-string, cyclic and long-term effects; state any justified exclusion. Anti-tip load cases remain separate.</x:v>
      </x:c>
      <x:c r="E39" s="3" t="str">
        <x:v>Review tolerances, tuning imbalance, permitted retuning, applicable dynamic/broken-string, cyclic and long-term effects; state any justified exclusion. Anti-tip load cases remain separate.</x:v>
      </x:c>
    </x:row>
    <x:row r="40" ht="28" customHeight="1">
      <x:c r="A40" s="9"/>
      <x:c r="B40" s="9"/>
      <x:c r="C40" s="9"/>
      <x:c r="D40" s="9"/>
      <x:c r="E40" s="9"/>
    </x:row>
    <x:row r="41" ht="30" customHeight="1">
      <x:c r="A41" s="8" t="str">
        <x:v>Configuration-specific connection limit record (reviewer supplied, not back-calculated from a planning ceiling)</x:v>
      </x:c>
      <x:c r="B41" s="8" t="str">
        <x:v>Configuration-specific connection limit record (reviewer supplied, not back-calculated from a planning ceiling)</x:v>
      </x:c>
      <x:c r="C41" s="8" t="str">
        <x:v>Configuration-specific connection limit record (reviewer supplied, not back-calculated from a planning ceiling)</x:v>
      </x:c>
      <x:c r="D41" s="8" t="str">
        <x:v>Configuration-specific connection limit record (reviewer supplied, not back-calculated from a planning ceiling)</x:v>
      </x:c>
      <x:c r="E41" s="8" t="str">
        <x:v>Configuration-specific connection limit record (reviewer supplied, not back-calculated from a planning ceiling)</x:v>
      </x:c>
    </x:row>
    <x:row r="42" ht="43" customHeight="1">
      <x:c r="A42" s="9" t="str">
        <x:v>V_allow along z</x:v>
      </x:c>
      <x:c r="B42" s="27"/>
      <x:c r="C42" s="27"/>
      <x:c r="D42" s="9" t="str">
        <x:v>lbf</x:v>
      </x:c>
      <x:c r="E42" s="9" t="str">
        <x:v>Component limit only; valid only with the accompanying combined-load domain and configuration.</x:v>
      </x:c>
    </x:row>
    <x:row r="43" ht="43" customHeight="1">
      <x:c r="A43" s="3" t="str">
        <x:v>Mx_allow at named joint datum</x:v>
      </x:c>
      <x:c r="B43" s="27"/>
      <x:c r="C43" s="27"/>
      <x:c r="D43" s="3" t="str">
        <x:v>lbf in</x:v>
      </x:c>
      <x:c r="E43" s="3" t="str">
        <x:v>Component limit only; valid only with the accompanying combined-load domain and configuration.</x:v>
      </x:c>
    </x:row>
    <x:row r="44" ht="43" customHeight="1">
      <x:c r="A44" s="9" t="str">
        <x:v>My_allow at named joint datum</x:v>
      </x:c>
      <x:c r="B44" s="27"/>
      <x:c r="C44" s="27"/>
      <x:c r="D44" s="9" t="str">
        <x:v>lbf in</x:v>
      </x:c>
      <x:c r="E44" s="9" t="str">
        <x:v>Component limit only; valid only with the accompanying combined-load domain and configuration.</x:v>
      </x:c>
    </x:row>
    <x:row r="45" ht="43" customHeight="1">
      <x:c r="A45" s="3" t="str">
        <x:v>Other force/moment components and interaction domain</x:v>
      </x:c>
      <x:c r="B45" s="27"/>
      <x:c r="C45" s="27"/>
      <x:c r="D45" s="3" t="str">
        <x:v>text</x:v>
      </x:c>
      <x:c r="E45" s="3" t="str">
        <x:v>Required to populate the exact Rev B worksheet row.</x:v>
      </x:c>
    </x:row>
    <x:row r="46" ht="43" customHeight="1">
      <x:c r="A46" s="9" t="str">
        <x:v>Controlling failure mode / governing case ID</x:v>
      </x:c>
      <x:c r="B46" s="27"/>
      <x:c r="C46" s="27"/>
      <x:c r="D46" s="9" t="str">
        <x:v>text</x:v>
      </x:c>
      <x:c r="E46" s="9" t="str">
        <x:v>Required to populate the exact Rev B worksheet row.</x:v>
      </x:c>
    </x:row>
    <x:row r="47" ht="43" customHeight="1">
      <x:c r="A47" s="3" t="str">
        <x:v>Adjusted allowable basis and all factors</x:v>
      </x:c>
      <x:c r="B47" s="27"/>
      <x:c r="C47" s="27"/>
      <x:c r="D47" s="3" t="str">
        <x:v>text</x:v>
      </x:c>
      <x:c r="E47" s="3" t="str">
        <x:v>Required to populate the exact Rev B worksheet row.</x:v>
      </x:c>
    </x:row>
    <x:row r="48" ht="43" customHeight="1">
      <x:c r="A48" s="9" t="str">
        <x:v>Calculation/source/drawing revision ID</x:v>
      </x:c>
      <x:c r="B48" s="27"/>
      <x:c r="C48" s="27"/>
      <x:c r="D48" s="9" t="str">
        <x:v>text</x:v>
      </x:c>
      <x:c r="E48" s="9" t="str">
        <x:v>Required to populate the exact Rev B worksheet row.</x:v>
      </x:c>
    </x:row>
    <x:row r="49" ht="43" customHeight="1">
      <x:c r="A49" s="3" t="str">
        <x:v>Reviewer</x:v>
      </x:c>
      <x:c r="B49" s="27"/>
      <x:c r="C49" s="27"/>
      <x:c r="D49" s="3" t="str">
        <x:v>text</x:v>
      </x:c>
      <x:c r="E49" s="3" t="str">
        <x:v>Required to populate the exact Rev B worksheet row.</x:v>
      </x:c>
    </x:row>
    <x:row r="50" ht="43" customHeight="1">
      <x:c r="A50" s="9" t="str">
        <x:v>Review date</x:v>
      </x:c>
      <x:c r="B50" s="28"/>
      <x:c r="C50" s="28"/>
      <x:c r="D50" s="9" t="str">
        <x:v>date</x:v>
      </x:c>
      <x:c r="E50" s="9" t="str">
        <x:v>Required to populate the exact Rev B worksheet row.</x:v>
      </x:c>
    </x:row>
    <x:row r="51" ht="28" customHeight="1">
      <x:c r="A51" s="3"/>
      <x:c r="B51" s="3"/>
      <x:c r="C51" s="3"/>
      <x:c r="D51" s="3"/>
      <x:c r="E51" s="3"/>
    </x:row>
    <x:row r="52" ht="28" customHeight="1">
      <x:c r="A52"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B52"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C52"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D52"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E52"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row>
    <x:row r="53" ht="28" customHeight="1">
      <x:c r="A53" s="3"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B53" s="3"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C53" s="3"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D53" s="3"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E53" s="3"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row>
    <x:row r="54" ht="28" customHeight="1">
      <x:c r="A54"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B54"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C54"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D54"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c r="E54" s="9" t="str">
        <x:v>The three scalar component limits are not an independent rectangular safe-load box unless the review explicitly establishes that domain. Keep the combined-load interaction restriction and governing case with the numbers. No WLL is inferred from the minimum of dissimilar force and moment limits.</x:v>
      </x:c>
    </x:row>
    <x:row r="55" ht="28" customHeight="1">
      <x:c r="A55" s="3"/>
      <x:c r="B55" s="3"/>
      <x:c r="C55" s="3"/>
      <x:c r="D55" s="3"/>
      <x:c r="E55" s="3"/>
    </x:row>
    <x:row r="56" ht="30" customHeight="1">
      <x:c r="A56" s="8" t="str">
        <x:v>Record eligibility</x:v>
      </x:c>
      <x:c r="B56" s="8" t="str">
        <x:v>Record eligibility</x:v>
      </x:c>
      <x:c r="C56" s="8" t="str">
        <x:v>Record eligibility</x:v>
      </x:c>
      <x:c r="D56" s="8" t="str">
        <x:v>Record eligibility</x:v>
      </x:c>
      <x:c r="E56" s="8" t="str">
        <x:v>Record eligibility</x:v>
      </x:c>
    </x:row>
    <x:row r="57" ht="28" customHeight="1">
      <x:c r="A57" s="3" t="str">
        <x:v>Evidence completeness only</x:v>
      </x:c>
      <x:c r="B57" s="3" t="str">
        <x:f>IF(AND(AND(ISNUMBER(B42),B42&gt;0,ISNUMBER(B43),B43&gt;0,ISNUMBER(B44),B44&gt;0),COUNTA(B45:B49)=5,ISNUMBER(B50)),"LIMIT RECORD COMPLETE","OPEN")</x:f>
        <x:v>OPEN</x:v>
      </x:c>
      <x:c r="C57" s="3" t="str">
        <x:f>IF(AND(AND(ISNUMBER(C42),C42&gt;0,ISNUMBER(C43),C43&gt;0,ISNUMBER(C44),C44&gt;0),COUNTA(C45:C49)=5,ISNUMBER(C50)),"LIMIT RECORD COMPLETE","OPEN")</x:f>
        <x:v>OPEN</x:v>
      </x:c>
      <x:c r="D57" s="3"/>
      <x:c r="E57" s="3"/>
    </x:row>
    <x:row r="58" ht="28" customHeight="1">
      <x:c r="A58" s="9"/>
      <x:c r="B58" s="9"/>
      <x:c r="C58" s="9"/>
      <x:c r="D58" s="9"/>
      <x:c r="E58" s="9"/>
    </x:row>
    <x:row r="59" ht="28" customHeight="1">
      <x:c r="A59"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B59"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C59"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D59"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E59"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row>
    <x:row r="60" ht="28" customHeight="1">
      <x:c r="A60" s="9"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B60" s="9"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C60" s="9"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D60" s="9"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E60" s="9"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row>
    <x:row r="61" ht="28" customHeight="1">
      <x:c r="A61"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B61"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C61"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D61"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c r="E61" s="3" t="str">
        <x:v>If a component demand/limit is genuinely inapplicable, resolve it in the joint calculation and document the complete force/moment domain. This simple record expects positive Vz, Mx and My limits; alternate configurations require an explicit revised worksheet, not zeros that conceal missing limits.</x:v>
      </x:c>
    </x:row>
    <x:row r="62" ht="28" customHeight="1">
      <x:c r="A62" s="9"/>
      <x:c r="B62" s="9"/>
      <x:c r="C62" s="9"/>
      <x:c r="D62" s="9"/>
      <x:c r="E62" s="9"/>
    </x:row>
    <x:row r="63" ht="28" customHeight="1">
      <x:c r="A63" s="3" t="str">
        <x:v>Required closeout also includes actual wood side/end margins and every hole diameter/coordinate on a dimensioned drawing. The field map does not authorize selecting a bolt diameter, drilling a hole, or tensioning a string.</x:v>
      </x:c>
      <x:c r="B63" s="3" t="str">
        <x:v>Required closeout also includes actual wood side/end margins and every hole diameter/coordinate on a dimensioned drawing. The field map does not authorize selecting a bolt diameter, drilling a hole, or tensioning a string.</x:v>
      </x:c>
      <x:c r="C63" s="3" t="str">
        <x:v>Required closeout also includes actual wood side/end margins and every hole diameter/coordinate on a dimensioned drawing. The field map does not authorize selecting a bolt diameter, drilling a hole, or tensioning a string.</x:v>
      </x:c>
      <x:c r="D63" s="3" t="str">
        <x:v>Required closeout also includes actual wood side/end margins and every hole diameter/coordinate on a dimensioned drawing. The field map does not authorize selecting a bolt diameter, drilling a hole, or tensioning a string.</x:v>
      </x:c>
      <x:c r="E63" s="3" t="str">
        <x:v>Required closeout also includes actual wood side/end margins and every hole diameter/coordinate on a dimensioned drawing. The field map does not authorize selecting a bolt diameter, drilling a hole, or tensioning a string.</x:v>
      </x:c>
    </x:row>
    <x:row r="64" ht="28" customHeight="1">
      <x:c r="A64" s="9" t="str">
        <x:v>Required closeout also includes actual wood side/end margins and every hole diameter/coordinate on a dimensioned drawing. The field map does not authorize selecting a bolt diameter, drilling a hole, or tensioning a string.</x:v>
      </x:c>
      <x:c r="B64" s="9" t="str">
        <x:v>Required closeout also includes actual wood side/end margins and every hole diameter/coordinate on a dimensioned drawing. The field map does not authorize selecting a bolt diameter, drilling a hole, or tensioning a string.</x:v>
      </x:c>
      <x:c r="C64" s="9" t="str">
        <x:v>Required closeout also includes actual wood side/end margins and every hole diameter/coordinate on a dimensioned drawing. The field map does not authorize selecting a bolt diameter, drilling a hole, or tensioning a string.</x:v>
      </x:c>
      <x:c r="D64" s="9" t="str">
        <x:v>Required closeout also includes actual wood side/end margins and every hole diameter/coordinate on a dimensioned drawing. The field map does not authorize selecting a bolt diameter, drilling a hole, or tensioning a string.</x:v>
      </x:c>
      <x:c r="E64" s="9" t="str">
        <x:v>Required closeout also includes actual wood side/end margins and every hole diameter/coordinate on a dimensioned drawing. The field map does not authorize selecting a bolt diameter, drilling a hole, or tensioning a string.</x:v>
      </x:c>
    </x:row>
    <x:row r="65" ht="28" customHeight="1">
      <x:c r="A65" s="3" t="str">
        <x:v>Required closeout also includes actual wood side/end margins and every hole diameter/coordinate on a dimensioned drawing. The field map does not authorize selecting a bolt diameter, drilling a hole, or tensioning a string.</x:v>
      </x:c>
      <x:c r="B65" s="3" t="str">
        <x:v>Required closeout also includes actual wood side/end margins and every hole diameter/coordinate on a dimensioned drawing. The field map does not authorize selecting a bolt diameter, drilling a hole, or tensioning a string.</x:v>
      </x:c>
      <x:c r="C65" s="3" t="str">
        <x:v>Required closeout also includes actual wood side/end margins and every hole diameter/coordinate on a dimensioned drawing. The field map does not authorize selecting a bolt diameter, drilling a hole, or tensioning a string.</x:v>
      </x:c>
      <x:c r="D65" s="3" t="str">
        <x:v>Required closeout also includes actual wood side/end margins and every hole diameter/coordinate on a dimensioned drawing. The field map does not authorize selecting a bolt diameter, drilling a hole, or tensioning a string.</x:v>
      </x:c>
      <x:c r="E65" s="3" t="str">
        <x:v>Required closeout also includes actual wood side/end margins and every hole diameter/coordinate on a dimensioned drawing. The field map does not authorize selecting a bolt diameter, drilling a hole, or tensioning a string.</x:v>
      </x:c>
    </x:row>
    <x:row r="66" ht="28" customHeight="1">
      <x:c r="A66" s="9"/>
      <x:c r="B66" s="9"/>
      <x:c r="C66" s="9"/>
      <x:c r="D66" s="9"/>
      <x:c r="E66" s="9"/>
    </x:row>
    <x:row r="67" ht="28" customHeight="1">
      <x:c r="A67" s="3"/>
      <x:c r="B67" s="3"/>
      <x:c r="C67" s="3"/>
      <x:c r="D67" s="3"/>
      <x:c r="E67" s="3"/>
    </x:row>
  </x:sheetData>
  <x:mergeCells>
    <x:mergeCell ref="A1:E2"/>
    <x:mergeCell ref="A3:E3"/>
    <x:mergeCell ref="A30:E30"/>
    <x:mergeCell ref="B31:E31"/>
    <x:mergeCell ref="B32:E32"/>
    <x:mergeCell ref="B33:E33"/>
    <x:mergeCell ref="B34:E34"/>
    <x:mergeCell ref="B35:E35"/>
    <x:mergeCell ref="B36:E36"/>
    <x:mergeCell ref="B37:E37"/>
    <x:mergeCell ref="B38:E38"/>
    <x:mergeCell ref="B39:E39"/>
    <x:mergeCell ref="A41:E41"/>
    <x:mergeCell ref="A52:E54"/>
    <x:mergeCell ref="A56:E56"/>
    <x:mergeCell ref="A59:E61"/>
    <x:mergeCell ref="A63:E65"/>
  </x:mergeCells>
  <x:conditionalFormatting sqref="B25:C28">
    <x:cfRule type="containsText" dxfId="3" priority="1" operator="containsText" text="OPEN"/>
    <x:cfRule type="containsText" dxfId="4" priority="2" operator="containsText" text="EXCEEDS"/>
    <x:cfRule type="containsText" dxfId="5" priority="3" operator="containsText" text="RECORDED"/>
  </x:conditionalFormatting>
  <x:conditionalFormatting sqref="B57:C57">
    <x:cfRule type="containsText" dxfId="6" priority="4" operator="containsText" text="OPEN"/>
    <x:cfRule type="containsText" dxfId="7" priority="5" operator="containsText" text="EXCEEDS"/>
    <x:cfRule type="containsText" dxfId="8" priority="6" operator="containsText" text="RECORDED"/>
  </x:conditionalFormatting>
  <x:pageMargins left="0.7" right="0.7" top="0.75" bottom="0.75" header="0.3" footer="0.3"/>
  <x:legacyDrawing xmlns:r="http://schemas.openxmlformats.org/officeDocument/2006/relationships" r:id="R4bb0449233cb41ce"/>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25" hidden="0" customWidth="1"/>
    <x:col min="4" max="4" width="19" hidden="0" customWidth="1"/>
    <x:col min="5" max="5" width="12" hidden="0" customWidth="1"/>
    <x:col min="6" max="6" width="22" hidden="0" customWidth="1"/>
    <x:col min="7" max="7" width="16" hidden="0" customWidth="1"/>
    <x:col min="8" max="8" width="51" hidden="0" customWidth="1"/>
    <x:col min="9" max="9" width="42" hidden="0" customWidth="1"/>
    <x:col min="10" max="10" width="22" hidden="0" customWidth="1"/>
    <x:col min="11" max="11" width="18" hidden="0" customWidth="1"/>
    <x:col min="12" max="12" width="18" hidden="0" customWidth="1"/>
    <x:col min="13" max="13" width="24" hidden="0" customWidth="1"/>
  </x:cols>
  <x:sheetData>
    <x:row r="1" ht="28" customHeight="1">
      <x:c r="A1" s="5" t="str">
        <x:v>Reviewed checks | Demands, allowables &amp; evidence</x:v>
      </x:c>
      <x:c r="B1" s="5" t="str">
        <x:v>Reviewed checks | Demands, allowables &amp; evidence</x:v>
      </x:c>
      <x:c r="C1" s="5" t="str">
        <x:v>Reviewed checks | Demands, allowables &amp; evidence</x:v>
      </x:c>
      <x:c r="D1" s="5" t="str">
        <x:v>Reviewed checks | Demands, allowables &amp; evidence</x:v>
      </x:c>
      <x:c r="E1" s="5" t="str">
        <x:v>Reviewed checks | Demands, allowables &amp; evidence</x:v>
      </x:c>
      <x:c r="F1" s="5" t="str">
        <x:v>Reviewed checks | Demands, allowables &amp; evidence</x:v>
      </x:c>
      <x:c r="G1" s="5" t="str">
        <x:v>Reviewed checks | Demands, allowables &amp; evidence</x:v>
      </x:c>
      <x:c r="H1" s="5" t="str">
        <x:v>Reviewed checks | Demands, allowables &amp; evidence</x:v>
      </x:c>
      <x:c r="I1" s="5" t="str">
        <x:v>Reviewed checks | Demands, allowables &amp; evidence</x:v>
      </x:c>
      <x:c r="J1" s="5" t="str">
        <x:v>Reviewed checks | Demands, allowables &amp; evidence</x:v>
      </x:c>
      <x:c r="K1" s="5" t="str">
        <x:v>Reviewed checks | Demands, allowables &amp; evidence</x:v>
      </x:c>
      <x:c r="L1" s="5" t="str">
        <x:v>Reviewed checks | Demands, allowables &amp; evidence</x:v>
      </x:c>
      <x:c r="M1" s="5" t="str">
        <x:v>Reviewed checks | Demands, allowables &amp; evidence</x:v>
      </x:c>
    </x:row>
    <x:row r="2" ht="28" customHeight="1">
      <x:c r="A2" s="5" t="str">
        <x:v>Reviewed checks | Demands, allowables &amp; evidence</x:v>
      </x:c>
      <x:c r="B2" s="5" t="str">
        <x:v>Reviewed checks | Demands, allowables &amp; evidence</x:v>
      </x:c>
      <x:c r="C2" s="5" t="str">
        <x:v>Reviewed checks | Demands, allowables &amp; evidence</x:v>
      </x:c>
      <x:c r="D2" s="5" t="str">
        <x:v>Reviewed checks | Demands, allowables &amp; evidence</x:v>
      </x:c>
      <x:c r="E2" s="5" t="str">
        <x:v>Reviewed checks | Demands, allowables &amp; evidence</x:v>
      </x:c>
      <x:c r="F2" s="5" t="str">
        <x:v>Reviewed checks | Demands, allowables &amp; evidence</x:v>
      </x:c>
      <x:c r="G2" s="5" t="str">
        <x:v>Reviewed checks | Demands, allowables &amp; evidence</x:v>
      </x:c>
      <x:c r="H2" s="5" t="str">
        <x:v>Reviewed checks | Demands, allowables &amp; evidence</x:v>
      </x:c>
      <x:c r="I2" s="5" t="str">
        <x:v>Reviewed checks | Demands, allowables &amp; evidence</x:v>
      </x:c>
      <x:c r="J2" s="5" t="str">
        <x:v>Reviewed checks | Demands, allowables &amp; evidence</x:v>
      </x:c>
      <x:c r="K2" s="5" t="str">
        <x:v>Reviewed checks | Demands, allowables &amp; evidence</x:v>
      </x:c>
      <x:c r="L2" s="5" t="str">
        <x:v>Reviewed checks | Demands, allowables &amp; evidence</x:v>
      </x:c>
      <x:c r="M2" s="5" t="str">
        <x:v>Reviewed checks | Demands, allowables &amp; evidence</x:v>
      </x:c>
    </x:row>
    <x:row r="3" ht="43" customHeight="1">
      <x:c r="A3" s="6" t="str">
        <x:v>Purple fields require a documented calculation. No default material capacity, proof-to-working conversion or design factor is supplied.</x:v>
      </x:c>
      <x:c r="B3" s="6" t="str">
        <x:v>Purple fields require a documented calculation. No default material capacity, proof-to-working conversion or design factor is supplied.</x:v>
      </x:c>
      <x:c r="C3" s="6" t="str">
        <x:v>Purple fields require a documented calculation. No default material capacity, proof-to-working conversion or design factor is supplied.</x:v>
      </x:c>
      <x:c r="D3" s="6" t="str">
        <x:v>Purple fields require a documented calculation. No default material capacity, proof-to-working conversion or design factor is supplied.</x:v>
      </x:c>
      <x:c r="E3" s="6" t="str">
        <x:v>Purple fields require a documented calculation. No default material capacity, proof-to-working conversion or design factor is supplied.</x:v>
      </x:c>
      <x:c r="F3" s="6" t="str">
        <x:v>Purple fields require a documented calculation. No default material capacity, proof-to-working conversion or design factor is supplied.</x:v>
      </x:c>
      <x:c r="G3" s="6" t="str">
        <x:v>Purple fields require a documented calculation. No default material capacity, proof-to-working conversion or design factor is supplied.</x:v>
      </x:c>
      <x:c r="H3" s="6" t="str">
        <x:v>Purple fields require a documented calculation. No default material capacity, proof-to-working conversion or design factor is supplied.</x:v>
      </x:c>
      <x:c r="I3" s="6" t="str">
        <x:v>Purple fields require a documented calculation. No default material capacity, proof-to-working conversion or design factor is supplied.</x:v>
      </x:c>
      <x:c r="J3" s="6" t="str">
        <x:v>Purple fields require a documented calculation. No default material capacity, proof-to-working conversion or design factor is supplied.</x:v>
      </x:c>
      <x:c r="K3" s="6" t="str">
        <x:v>Purple fields require a documented calculation. No default material capacity, proof-to-working conversion or design factor is supplied.</x:v>
      </x:c>
      <x:c r="L3" s="6" t="str">
        <x:v>Purple fields require a documented calculation. No default material capacity, proof-to-working conversion or design factor is supplied.</x:v>
      </x:c>
      <x:c r="M3" s="6" t="str">
        <x:v>Purple fields require a documented calculation. No default material capacity, proof-to-working conversion or design factor is supplied.</x:v>
      </x:c>
    </x:row>
    <x:row r="4" ht="28" customHeight="1">
      <x:c r="A4" s="3"/>
      <x:c r="B4" s="3"/>
      <x:c r="C4" s="3"/>
      <x:c r="D4" s="3"/>
      <x:c r="E4" s="3"/>
      <x:c r="F4" s="3"/>
      <x:c r="G4" s="3"/>
      <x:c r="H4" s="3"/>
      <x:c r="I4" s="3"/>
      <x:c r="J4" s="3"/>
      <x:c r="K4" s="3"/>
      <x:c r="L4" s="3"/>
      <x:c r="M4" s="3"/>
    </x:row>
    <x:row r="5" ht="36" customHeight="1">
      <x:c r="A5" s="8" t="str">
        <x:v>Check ID</x:v>
      </x:c>
      <x:c r="B5" s="8" t="str">
        <x:v>Failure mode / check</x:v>
      </x:c>
      <x:c r="C5" s="8" t="str">
        <x:v>Governing case / section</x:v>
      </x:c>
      <x:c r="D5" s="8" t="str">
        <x:v>Demand D</x:v>
      </x:c>
      <x:c r="E5" s="8" t="str">
        <x:v>Unit</x:v>
      </x:c>
      <x:c r="F5" s="8" t="str">
        <x:v>Adjusted allowable C</x:v>
      </x:c>
      <x:c r="G5" s="8" t="str">
        <x:v>D / C</x:v>
      </x:c>
      <x:c r="H5" s="8" t="str">
        <x:v>Basis, raw rating &amp; factors</x:v>
      </x:c>
      <x:c r="I5" s="8" t="str">
        <x:v>Source / calculation ID</x:v>
      </x:c>
      <x:c r="J5" s="8" t="str">
        <x:v>Reviewer</x:v>
      </x:c>
      <x:c r="K5" s="8" t="str">
        <x:v>Review date</x:v>
      </x:c>
      <x:c r="L5" s="8" t="str">
        <x:v>Use</x:v>
      </x:c>
      <x:c r="M5" s="8" t="str">
        <x:v>Status</x:v>
      </x:c>
    </x:row>
    <x:row r="6" ht="55" customHeight="1">
      <x:c r="A6" s="9" t="str">
        <x:v>SP01</x:v>
      </x:c>
      <x:c r="B6" s="9" t="str">
        <x:v>Spine gross axial + biaxial member interaction</x:v>
      </x:c>
      <x:c r="C6" s="27"/>
      <x:c r="D6" s="33"/>
      <x:c r="E6" s="33" t="str">
        <x:v>ratio</x:v>
      </x:c>
      <x:c r="F6" s="33"/>
      <x:c r="G6" s="24" t="str">
        <x:f>IF(AND(AND(ISNUMBER(D6),D6&gt;=0),AND(ISNUMBER(F6),F6&gt;0)),D6/F6,"")</x:f>
      </x:c>
      <x:c r="H6" s="27"/>
      <x:c r="I6" s="27"/>
      <x:c r="J6" s="27"/>
      <x:c r="K6" s="28"/>
      <x:c r="L6" s="27" t="str">
        <x:v>Required</x:v>
      </x:c>
      <x:c r="M6" s="9" t="str">
        <x:f>IF(AND(L6="N/A",C6&lt;&gt;"",H6&lt;&gt;"",I6&lt;&gt;"",J6&lt;&gt;"",ISNUMBER(K6)),"N/A RECORDED",IF(OR(L6&lt;&gt;"Required",NOT(ISNUMBER(G6)),C6="",H6="",I6="",J6="",NOT(ISNUMBER(K6))),"OPEN",IF(G6&gt;1,"EXCEEDS","RECORDED")))</x:f>
        <x:v>OPEN</x:v>
      </x:c>
    </x:row>
    <x:row r="7" ht="55" customHeight="1">
      <x:c r="A7" s="3" t="str">
        <x:v>SP02</x:v>
      </x:c>
      <x:c r="B7" s="3" t="str">
        <x:v>Spine upper critical net section</x:v>
      </x:c>
      <x:c r="C7" s="27"/>
      <x:c r="D7" s="33"/>
      <x:c r="E7" s="33" t="str">
        <x:v>ratio</x:v>
      </x:c>
      <x:c r="F7" s="33"/>
      <x:c r="G7" s="25" t="str">
        <x:f>IF(AND(AND(ISNUMBER(D7),D7&gt;=0),AND(ISNUMBER(F7),F7&gt;0)),D7/F7,"")</x:f>
      </x:c>
      <x:c r="H7" s="27"/>
      <x:c r="I7" s="27"/>
      <x:c r="J7" s="27"/>
      <x:c r="K7" s="28"/>
      <x:c r="L7" s="27" t="str">
        <x:v>Required</x:v>
      </x:c>
      <x:c r="M7" s="3" t="str">
        <x:f>IF(AND(L7="N/A",C7&lt;&gt;"",H7&lt;&gt;"",I7&lt;&gt;"",J7&lt;&gt;"",ISNUMBER(K7)),"N/A RECORDED",IF(OR(L7&lt;&gt;"Required",NOT(ISNUMBER(G7)),C7="",H7="",I7="",J7="",NOT(ISNUMBER(K7))),"OPEN",IF(G7&gt;1,"EXCEEDS","RECORDED")))</x:f>
        <x:v>OPEN</x:v>
      </x:c>
    </x:row>
    <x:row r="8" ht="55" customHeight="1">
      <x:c r="A8" s="9" t="str">
        <x:v>SP03</x:v>
      </x:c>
      <x:c r="B8" s="9" t="str">
        <x:v>Spine lower critical net section</x:v>
      </x:c>
      <x:c r="C8" s="27"/>
      <x:c r="D8" s="33"/>
      <x:c r="E8" s="33" t="str">
        <x:v>ratio</x:v>
      </x:c>
      <x:c r="F8" s="33"/>
      <x:c r="G8" s="24" t="str">
        <x:f>IF(AND(AND(ISNUMBER(D8),D8&gt;=0),AND(ISNUMBER(F8),F8&gt;0)),D8/F8,"")</x:f>
      </x:c>
      <x:c r="H8" s="27"/>
      <x:c r="I8" s="27"/>
      <x:c r="J8" s="27"/>
      <x:c r="K8" s="28"/>
      <x:c r="L8" s="27" t="str">
        <x:v>Required</x:v>
      </x:c>
      <x:c r="M8" s="9" t="str">
        <x:f>IF(AND(L8="N/A",C8&lt;&gt;"",H8&lt;&gt;"",I8&lt;&gt;"",J8&lt;&gt;"",ISNUMBER(K8)),"N/A RECORDED",IF(OR(L8&lt;&gt;"Required",NOT(ISNUMBER(G8)),C8="",H8="",I8="",J8="",NOT(ISNUMBER(K8))),"OPEN",IF(G8&gt;1,"EXCEEDS","RECORDED")))</x:f>
        <x:v>OPEN</x:v>
      </x:c>
    </x:row>
    <x:row r="9" ht="55" customHeight="1">
      <x:c r="A9" s="3" t="str">
        <x:v>SP04</x:v>
      </x:c>
      <x:c r="B9" s="3" t="str">
        <x:v>Spine stability / buckling review</x:v>
      </x:c>
      <x:c r="C9" s="27"/>
      <x:c r="D9" s="33"/>
      <x:c r="E9" s="33" t="str">
        <x:v>ratio</x:v>
      </x:c>
      <x:c r="F9" s="33"/>
      <x:c r="G9" s="25" t="str">
        <x:f>IF(AND(AND(ISNUMBER(D9),D9&gt;=0),AND(ISNUMBER(F9),F9&gt;0)),D9/F9,"")</x:f>
      </x:c>
      <x:c r="H9" s="27"/>
      <x:c r="I9" s="27"/>
      <x:c r="J9" s="27"/>
      <x:c r="K9" s="28"/>
      <x:c r="L9" s="27" t="str">
        <x:v>Required</x:v>
      </x:c>
      <x:c r="M9" s="3" t="str">
        <x:f>IF(AND(L9="N/A",C9&lt;&gt;"",H9&lt;&gt;"",I9&lt;&gt;"",J9&lt;&gt;"",ISNUMBER(K9)),"N/A RECORDED",IF(OR(L9&lt;&gt;"Required",NOT(ISNUMBER(G9)),C9="",H9="",I9="",J9="",NOT(ISNUMBER(K9))),"OPEN",IF(G9&gt;1,"EXCEEDS","RECORDED")))</x:f>
        <x:v>OPEN</x:v>
      </x:c>
    </x:row>
    <x:row r="10" ht="55" customHeight="1">
      <x:c r="A10" s="9" t="str">
        <x:v>SP05</x:v>
      </x:c>
      <x:c r="B10" s="9" t="str">
        <x:v>Frame deflection / long-term clearance loss</x:v>
      </x:c>
      <x:c r="C10" s="27"/>
      <x:c r="D10" s="33"/>
      <x:c r="E10" s="33" t="str">
        <x:v>in</x:v>
      </x:c>
      <x:c r="F10" s="33"/>
      <x:c r="G10" s="24" t="str">
        <x:f>IF(AND(AND(ISNUMBER(D10),D10&gt;=0),AND(ISNUMBER(F10),F10&gt;0)),D10/F10,"")</x:f>
      </x:c>
      <x:c r="H10" s="27"/>
      <x:c r="I10" s="27"/>
      <x:c r="J10" s="27"/>
      <x:c r="K10" s="28"/>
      <x:c r="L10" s="27" t="str">
        <x:v>Required</x:v>
      </x:c>
      <x:c r="M10" s="9" t="str">
        <x:f>IF(AND(L10="N/A",C10&lt;&gt;"",H10&lt;&gt;"",I10&lt;&gt;"",J10&lt;&gt;"",ISNUMBER(K10)),"N/A RECORDED",IF(OR(L10&lt;&gt;"Required",NOT(ISNUMBER(G10)),C10="",H10="",I10="",J10="",NOT(ISNUMBER(K10))),"OPEN",IF(G10&gt;1,"EXCEEDS","RECORDED")))</x:f>
        <x:v>OPEN</x:v>
      </x:c>
    </x:row>
    <x:row r="11" ht="55" customHeight="1">
      <x:c r="A11" s="3" t="str">
        <x:v>U01</x:v>
      </x:c>
      <x:c r="B11" s="3" t="str">
        <x:v>Bar net elastic bending stress</x:v>
      </x:c>
      <x:c r="C11" s="27"/>
      <x:c r="D11" s="34" t="str">
        <x:f>IF(ISNUMBER('Joint Calc'!B15),'Joint Calc'!B15,"")</x:f>
      </x:c>
      <x:c r="E11" s="33" t="str">
        <x:v>psi</x:v>
      </x:c>
      <x:c r="F11" s="33"/>
      <x:c r="G11" s="25" t="str">
        <x:f>IF(AND(AND(ISNUMBER(D11),D11&gt;=0),AND(ISNUMBER(F11),F11&gt;0)),D11/F11,"")</x:f>
      </x:c>
      <x:c r="H11" s="27"/>
      <x:c r="I11" s="27"/>
      <x:c r="J11" s="27"/>
      <x:c r="K11" s="28"/>
      <x:c r="L11" s="27" t="str">
        <x:v>Required</x:v>
      </x:c>
      <x:c r="M11" s="3" t="str">
        <x:f>IF(AND(L11="N/A",C11&lt;&gt;"",H11&lt;&gt;"",I11&lt;&gt;"",J11&lt;&gt;"",ISNUMBER(K11)),"N/A RECORDED",IF(OR(L11&lt;&gt;"Required",NOT(ISNUMBER(G11)),C11="",H11="",I11="",J11="",NOT(ISNUMBER(K11))),"OPEN",IF(G11&gt;1,"EXCEEDS","RECORDED")))</x:f>
        <x:v>OPEN</x:v>
      </x:c>
    </x:row>
    <x:row r="12" ht="55" customHeight="1">
      <x:c r="A12" s="9" t="str">
        <x:v>U02</x:v>
      </x:c>
      <x:c r="B12" s="9" t="str">
        <x:v>Bar deflection / clearance allowance</x:v>
      </x:c>
      <x:c r="C12" s="27"/>
      <x:c r="D12" s="33"/>
      <x:c r="E12" s="33" t="str">
        <x:v>in</x:v>
      </x:c>
      <x:c r="F12" s="33"/>
      <x:c r="G12" s="24" t="str">
        <x:f>IF(AND(AND(ISNUMBER(D12),D12&gt;=0),AND(ISNUMBER(F12),F12&gt;0)),D12/F12,"")</x:f>
      </x:c>
      <x:c r="H12" s="27"/>
      <x:c r="I12" s="27"/>
      <x:c r="J12" s="27"/>
      <x:c r="K12" s="28"/>
      <x:c r="L12" s="27" t="str">
        <x:v>Required</x:v>
      </x:c>
      <x:c r="M12" s="9" t="str">
        <x:f>IF(AND(L12="N/A",C12&lt;&gt;"",H12&lt;&gt;"",I12&lt;&gt;"",J12&lt;&gt;"",ISNUMBER(K12)),"N/A RECORDED",IF(OR(L12&lt;&gt;"Required",NOT(ISNUMBER(G12)),C12="",H12="",I12="",J12="",NOT(ISNUMBER(K12))),"OPEN",IF(G12&gt;1,"EXCEEDS","RECORDED")))</x:f>
        <x:v>OPEN</x:v>
      </x:c>
    </x:row>
    <x:row r="13" ht="55" customHeight="1">
      <x:c r="A13" s="3" t="str">
        <x:v>U03</x:v>
      </x:c>
      <x:c r="B13" s="3" t="str">
        <x:v>Metal bearing / tear-out / block shear</x:v>
      </x:c>
      <x:c r="C13" s="27"/>
      <x:c r="D13" s="33"/>
      <x:c r="E13" s="33" t="str">
        <x:v>ratio</x:v>
      </x:c>
      <x:c r="F13" s="33"/>
      <x:c r="G13" s="25" t="str">
        <x:f>IF(AND(AND(ISNUMBER(D13),D13&gt;=0),AND(ISNUMBER(F13),F13&gt;0)),D13/F13,"")</x:f>
      </x:c>
      <x:c r="H13" s="27"/>
      <x:c r="I13" s="27"/>
      <x:c r="J13" s="27"/>
      <x:c r="K13" s="28"/>
      <x:c r="L13" s="27" t="str">
        <x:v>Required</x:v>
      </x:c>
      <x:c r="M13" s="3" t="str">
        <x:f>IF(AND(L13="N/A",C13&lt;&gt;"",H13&lt;&gt;"",I13&lt;&gt;"",J13&lt;&gt;"",ISNUMBER(K13)),"N/A RECORDED",IF(OR(L13&lt;&gt;"Required",NOT(ISNUMBER(G13)),C13="",H13="",I13="",J13="",NOT(ISNUMBER(K13))),"OPEN",IF(G13&gt;1,"EXCEEDS","RECORDED")))</x:f>
        <x:v>OPEN</x:v>
      </x:c>
    </x:row>
    <x:row r="14" ht="55" customHeight="1">
      <x:c r="A14" s="9" t="str">
        <x:v>U04</x:v>
      </x:c>
      <x:c r="B14" s="9" t="str">
        <x:v>Bolt/wood lateral yield-mode connection</x:v>
      </x:c>
      <x:c r="C14" s="27"/>
      <x:c r="D14" s="33"/>
      <x:c r="E14" s="33" t="str">
        <x:v>lbf</x:v>
      </x:c>
      <x:c r="F14" s="33"/>
      <x:c r="G14" s="24" t="str">
        <x:f>IF(AND(AND(ISNUMBER(D14),D14&gt;=0),AND(ISNUMBER(F14),F14&gt;0)),D14/F14,"")</x:f>
      </x:c>
      <x:c r="H14" s="27"/>
      <x:c r="I14" s="27"/>
      <x:c r="J14" s="27"/>
      <x:c r="K14" s="28"/>
      <x:c r="L14" s="27" t="str">
        <x:v>Required</x:v>
      </x:c>
      <x:c r="M14" s="9" t="str">
        <x:f>IF(AND(L14="N/A",C14&lt;&gt;"",H14&lt;&gt;"",I14&lt;&gt;"",J14&lt;&gt;"",ISNUMBER(K14)),"N/A RECORDED",IF(OR(L14&lt;&gt;"Required",NOT(ISNUMBER(G14)),C14="",H14="",I14="",J14="",NOT(ISNUMBER(K14))),"OPEN",IF(G14&gt;1,"EXCEEDS","RECORDED")))</x:f>
        <x:v>OPEN</x:v>
      </x:c>
    </x:row>
    <x:row r="15" ht="55" customHeight="1">
      <x:c r="A15" s="3" t="str">
        <x:v>U05</x:v>
      </x:c>
      <x:c r="B15" s="3" t="str">
        <x:v>Bolt tension + shear + prying interaction</x:v>
      </x:c>
      <x:c r="C15" s="27"/>
      <x:c r="D15" s="33"/>
      <x:c r="E15" s="33" t="str">
        <x:v>ratio</x:v>
      </x:c>
      <x:c r="F15" s="33"/>
      <x:c r="G15" s="25" t="str">
        <x:f>IF(AND(AND(ISNUMBER(D15),D15&gt;=0),AND(ISNUMBER(F15),F15&gt;0)),D15/F15,"")</x:f>
      </x:c>
      <x:c r="H15" s="27"/>
      <x:c r="I15" s="27"/>
      <x:c r="J15" s="27"/>
      <x:c r="K15" s="28"/>
      <x:c r="L15" s="27" t="str">
        <x:v>Required</x:v>
      </x:c>
      <x:c r="M15" s="3" t="str">
        <x:f>IF(AND(L15="N/A",C15&lt;&gt;"",H15&lt;&gt;"",I15&lt;&gt;"",J15&lt;&gt;"",ISNUMBER(K15)),"N/A RECORDED",IF(OR(L15&lt;&gt;"Required",NOT(ISNUMBER(G15)),C15="",H15="",I15="",J15="",NOT(ISNUMBER(K15))),"OPEN",IF(G15&gt;1,"EXCEEDS","RECORDED")))</x:f>
        <x:v>OPEN</x:v>
      </x:c>
    </x:row>
    <x:row r="16" ht="55" customHeight="1">
      <x:c r="A16" s="9" t="str">
        <x:v>U06</x:v>
      </x:c>
      <x:c r="B16" s="9" t="str">
        <x:v>Backing plate / washer / wood contact</x:v>
      </x:c>
      <x:c r="C16" s="27"/>
      <x:c r="D16" s="33"/>
      <x:c r="E16" s="33" t="str">
        <x:v>ratio</x:v>
      </x:c>
      <x:c r="F16" s="33"/>
      <x:c r="G16" s="24" t="str">
        <x:f>IF(AND(AND(ISNUMBER(D16),D16&gt;=0),AND(ISNUMBER(F16),F16&gt;0)),D16/F16,"")</x:f>
      </x:c>
      <x:c r="H16" s="27"/>
      <x:c r="I16" s="27"/>
      <x:c r="J16" s="27"/>
      <x:c r="K16" s="28"/>
      <x:c r="L16" s="27" t="str">
        <x:v>Required</x:v>
      </x:c>
      <x:c r="M16" s="9" t="str">
        <x:f>IF(AND(L16="N/A",C16&lt;&gt;"",H16&lt;&gt;"",I16&lt;&gt;"",J16&lt;&gt;"",ISNUMBER(K16)),"N/A RECORDED",IF(OR(L16&lt;&gt;"Required",NOT(ISNUMBER(G16)),C16="",H16="",I16="",J16="",NOT(ISNUMBER(K16))),"OPEN",IF(G16&gt;1,"EXCEEDS","RECORDED")))</x:f>
        <x:v>OPEN</x:v>
      </x:c>
    </x:row>
    <x:row r="17" ht="55" customHeight="1">
      <x:c r="A17" s="3" t="str">
        <x:v>U07</x:v>
      </x:c>
      <x:c r="B17" s="3" t="str">
        <x:v>Wood splitting / group / local net failures</x:v>
      </x:c>
      <x:c r="C17" s="27"/>
      <x:c r="D17" s="33"/>
      <x:c r="E17" s="33" t="str">
        <x:v>ratio</x:v>
      </x:c>
      <x:c r="F17" s="33"/>
      <x:c r="G17" s="25" t="str">
        <x:f>IF(AND(AND(ISNUMBER(D17),D17&gt;=0),AND(ISNUMBER(F17),F17&gt;0)),D17/F17,"")</x:f>
      </x:c>
      <x:c r="H17" s="27"/>
      <x:c r="I17" s="27"/>
      <x:c r="J17" s="27"/>
      <x:c r="K17" s="28"/>
      <x:c r="L17" s="27" t="str">
        <x:v>Required</x:v>
      </x:c>
      <x:c r="M17" s="3" t="str">
        <x:f>IF(AND(L17="N/A",C17&lt;&gt;"",H17&lt;&gt;"",I17&lt;&gt;"",J17&lt;&gt;"",ISNUMBER(K17)),"N/A RECORDED",IF(OR(L17&lt;&gt;"Required",NOT(ISNUMBER(G17)),C17="",H17="",I17="",J17="",NOT(ISNUMBER(K17))),"OPEN",IF(G17&gt;1,"EXCEEDS","RECORDED")))</x:f>
        <x:v>OPEN</x:v>
      </x:c>
    </x:row>
    <x:row r="18" ht="55" customHeight="1">
      <x:c r="A18" s="9" t="str">
        <x:v>U08</x:v>
      </x:c>
      <x:c r="B18" s="9" t="str">
        <x:v>Positive vertical stop / restraint path</x:v>
      </x:c>
      <x:c r="C18" s="27"/>
      <x:c r="D18" s="34" t="str">
        <x:f>IF(ISNUMBER('Joint Calc'!B6),'Joint Calc'!B6,"")</x:f>
      </x:c>
      <x:c r="E18" s="33" t="str">
        <x:v>lbf</x:v>
      </x:c>
      <x:c r="F18" s="33"/>
      <x:c r="G18" s="24" t="str">
        <x:f>IF(AND(AND(ISNUMBER(D18),D18&gt;=0),AND(ISNUMBER(F18),F18&gt;0)),D18/F18,"")</x:f>
      </x:c>
      <x:c r="H18" s="27"/>
      <x:c r="I18" s="27"/>
      <x:c r="J18" s="27"/>
      <x:c r="K18" s="28"/>
      <x:c r="L18" s="27" t="str">
        <x:v>Required</x:v>
      </x:c>
      <x:c r="M18" s="9" t="str">
        <x:f>IF(AND(L18="N/A",C18&lt;&gt;"",H18&lt;&gt;"",I18&lt;&gt;"",J18&lt;&gt;"",ISNUMBER(K18)),"N/A RECORDED",IF(OR(L18&lt;&gt;"Required",NOT(ISNUMBER(G18)),C18="",H18="",I18="",J18="",NOT(ISNUMBER(K18))),"OPEN",IF(G18&gt;1,"EXCEEDS","RECORDED")))</x:f>
        <x:v>OPEN</x:v>
      </x:c>
    </x:row>
    <x:row r="19" ht="55" customHeight="1">
      <x:c r="A19" s="3" t="str">
        <x:v>U09</x:v>
      </x:c>
      <x:c r="B19" s="3" t="str">
        <x:v>Tuner / head-block / local contact path</x:v>
      </x:c>
      <x:c r="C19" s="27"/>
      <x:c r="D19" s="33"/>
      <x:c r="E19" s="33" t="str">
        <x:v>ratio</x:v>
      </x:c>
      <x:c r="F19" s="33"/>
      <x:c r="G19" s="25" t="str">
        <x:f>IF(AND(AND(ISNUMBER(D19),D19&gt;=0),AND(ISNUMBER(F19),F19&gt;0)),D19/F19,"")</x:f>
      </x:c>
      <x:c r="H19" s="27"/>
      <x:c r="I19" s="27"/>
      <x:c r="J19" s="27"/>
      <x:c r="K19" s="28"/>
      <x:c r="L19" s="27" t="str">
        <x:v>Required</x:v>
      </x:c>
      <x:c r="M19" s="3" t="str">
        <x:f>IF(AND(L19="N/A",C19&lt;&gt;"",H19&lt;&gt;"",I19&lt;&gt;"",J19&lt;&gt;"",ISNUMBER(K19)),"N/A RECORDED",IF(OR(L19&lt;&gt;"Required",NOT(ISNUMBER(G19)),C19="",H19="",I19="",J19="",NOT(ISNUMBER(K19))),"OPEN",IF(G19&gt;1,"EXCEEDS","RECORDED")))</x:f>
        <x:v>OPEN</x:v>
      </x:c>
    </x:row>
    <x:row r="20" ht="55" customHeight="1">
      <x:c r="A20" s="9" t="str">
        <x:v>L01</x:v>
      </x:c>
      <x:c r="B20" s="9" t="str">
        <x:v>Bar net elastic bending stress</x:v>
      </x:c>
      <x:c r="C20" s="27"/>
      <x:c r="D20" s="34" t="str">
        <x:f>IF(ISNUMBER('Joint Calc'!C15),'Joint Calc'!C15,"")</x:f>
      </x:c>
      <x:c r="E20" s="33" t="str">
        <x:v>psi</x:v>
      </x:c>
      <x:c r="F20" s="33"/>
      <x:c r="G20" s="24" t="str">
        <x:f>IF(AND(AND(ISNUMBER(D20),D20&gt;=0),AND(ISNUMBER(F20),F20&gt;0)),D20/F20,"")</x:f>
      </x:c>
      <x:c r="H20" s="27"/>
      <x:c r="I20" s="27"/>
      <x:c r="J20" s="27"/>
      <x:c r="K20" s="28"/>
      <x:c r="L20" s="27" t="str">
        <x:v>Required</x:v>
      </x:c>
      <x:c r="M20" s="9" t="str">
        <x:f>IF(AND(L20="N/A",C20&lt;&gt;"",H20&lt;&gt;"",I20&lt;&gt;"",J20&lt;&gt;"",ISNUMBER(K20)),"N/A RECORDED",IF(OR(L20&lt;&gt;"Required",NOT(ISNUMBER(G20)),C20="",H20="",I20="",J20="",NOT(ISNUMBER(K20))),"OPEN",IF(G20&gt;1,"EXCEEDS","RECORDED")))</x:f>
        <x:v>OPEN</x:v>
      </x:c>
    </x:row>
    <x:row r="21" ht="55" customHeight="1">
      <x:c r="A21" s="3" t="str">
        <x:v>L02</x:v>
      </x:c>
      <x:c r="B21" s="3" t="str">
        <x:v>Bar deflection / clearance allowance</x:v>
      </x:c>
      <x:c r="C21" s="27"/>
      <x:c r="D21" s="33"/>
      <x:c r="E21" s="33" t="str">
        <x:v>in</x:v>
      </x:c>
      <x:c r="F21" s="33"/>
      <x:c r="G21" s="25" t="str">
        <x:f>IF(AND(AND(ISNUMBER(D21),D21&gt;=0),AND(ISNUMBER(F21),F21&gt;0)),D21/F21,"")</x:f>
      </x:c>
      <x:c r="H21" s="27"/>
      <x:c r="I21" s="27"/>
      <x:c r="J21" s="27"/>
      <x:c r="K21" s="28"/>
      <x:c r="L21" s="27" t="str">
        <x:v>Required</x:v>
      </x:c>
      <x:c r="M21" s="3" t="str">
        <x:f>IF(AND(L21="N/A",C21&lt;&gt;"",H21&lt;&gt;"",I21&lt;&gt;"",J21&lt;&gt;"",ISNUMBER(K21)),"N/A RECORDED",IF(OR(L21&lt;&gt;"Required",NOT(ISNUMBER(G21)),C21="",H21="",I21="",J21="",NOT(ISNUMBER(K21))),"OPEN",IF(G21&gt;1,"EXCEEDS","RECORDED")))</x:f>
        <x:v>OPEN</x:v>
      </x:c>
    </x:row>
    <x:row r="22" ht="55" customHeight="1">
      <x:c r="A22" s="9" t="str">
        <x:v>L03</x:v>
      </x:c>
      <x:c r="B22" s="9" t="str">
        <x:v>Metal bearing / tear-out / block shear</x:v>
      </x:c>
      <x:c r="C22" s="27"/>
      <x:c r="D22" s="33"/>
      <x:c r="E22" s="33" t="str">
        <x:v>ratio</x:v>
      </x:c>
      <x:c r="F22" s="33"/>
      <x:c r="G22" s="24" t="str">
        <x:f>IF(AND(AND(ISNUMBER(D22),D22&gt;=0),AND(ISNUMBER(F22),F22&gt;0)),D22/F22,"")</x:f>
      </x:c>
      <x:c r="H22" s="27"/>
      <x:c r="I22" s="27"/>
      <x:c r="J22" s="27"/>
      <x:c r="K22" s="28"/>
      <x:c r="L22" s="27" t="str">
        <x:v>Required</x:v>
      </x:c>
      <x:c r="M22" s="9" t="str">
        <x:f>IF(AND(L22="N/A",C22&lt;&gt;"",H22&lt;&gt;"",I22&lt;&gt;"",J22&lt;&gt;"",ISNUMBER(K22)),"N/A RECORDED",IF(OR(L22&lt;&gt;"Required",NOT(ISNUMBER(G22)),C22="",H22="",I22="",J22="",NOT(ISNUMBER(K22))),"OPEN",IF(G22&gt;1,"EXCEEDS","RECORDED")))</x:f>
        <x:v>OPEN</x:v>
      </x:c>
    </x:row>
    <x:row r="23" ht="55" customHeight="1">
      <x:c r="A23" s="3" t="str">
        <x:v>L04</x:v>
      </x:c>
      <x:c r="B23" s="3" t="str">
        <x:v>Bolt/wood lateral yield-mode connection</x:v>
      </x:c>
      <x:c r="C23" s="27"/>
      <x:c r="D23" s="33"/>
      <x:c r="E23" s="33" t="str">
        <x:v>lbf</x:v>
      </x:c>
      <x:c r="F23" s="33"/>
      <x:c r="G23" s="25" t="str">
        <x:f>IF(AND(AND(ISNUMBER(D23),D23&gt;=0),AND(ISNUMBER(F23),F23&gt;0)),D23/F23,"")</x:f>
      </x:c>
      <x:c r="H23" s="27"/>
      <x:c r="I23" s="27"/>
      <x:c r="J23" s="27"/>
      <x:c r="K23" s="28"/>
      <x:c r="L23" s="27" t="str">
        <x:v>Required</x:v>
      </x:c>
      <x:c r="M23" s="3" t="str">
        <x:f>IF(AND(L23="N/A",C23&lt;&gt;"",H23&lt;&gt;"",I23&lt;&gt;"",J23&lt;&gt;"",ISNUMBER(K23)),"N/A RECORDED",IF(OR(L23&lt;&gt;"Required",NOT(ISNUMBER(G23)),C23="",H23="",I23="",J23="",NOT(ISNUMBER(K23))),"OPEN",IF(G23&gt;1,"EXCEEDS","RECORDED")))</x:f>
        <x:v>OPEN</x:v>
      </x:c>
    </x:row>
    <x:row r="24" ht="55" customHeight="1">
      <x:c r="A24" s="9" t="str">
        <x:v>L05</x:v>
      </x:c>
      <x:c r="B24" s="9" t="str">
        <x:v>Bolt tension + shear + prying interaction</x:v>
      </x:c>
      <x:c r="C24" s="27"/>
      <x:c r="D24" s="33"/>
      <x:c r="E24" s="33" t="str">
        <x:v>ratio</x:v>
      </x:c>
      <x:c r="F24" s="33"/>
      <x:c r="G24" s="24" t="str">
        <x:f>IF(AND(AND(ISNUMBER(D24),D24&gt;=0),AND(ISNUMBER(F24),F24&gt;0)),D24/F24,"")</x:f>
      </x:c>
      <x:c r="H24" s="27"/>
      <x:c r="I24" s="27"/>
      <x:c r="J24" s="27"/>
      <x:c r="K24" s="28"/>
      <x:c r="L24" s="27" t="str">
        <x:v>Required</x:v>
      </x:c>
      <x:c r="M24" s="9" t="str">
        <x:f>IF(AND(L24="N/A",C24&lt;&gt;"",H24&lt;&gt;"",I24&lt;&gt;"",J24&lt;&gt;"",ISNUMBER(K24)),"N/A RECORDED",IF(OR(L24&lt;&gt;"Required",NOT(ISNUMBER(G24)),C24="",H24="",I24="",J24="",NOT(ISNUMBER(K24))),"OPEN",IF(G24&gt;1,"EXCEEDS","RECORDED")))</x:f>
        <x:v>OPEN</x:v>
      </x:c>
    </x:row>
    <x:row r="25" ht="55" customHeight="1">
      <x:c r="A25" s="3" t="str">
        <x:v>L06</x:v>
      </x:c>
      <x:c r="B25" s="3" t="str">
        <x:v>Backing plate / washer / wood contact</x:v>
      </x:c>
      <x:c r="C25" s="27"/>
      <x:c r="D25" s="33"/>
      <x:c r="E25" s="33" t="str">
        <x:v>ratio</x:v>
      </x:c>
      <x:c r="F25" s="33"/>
      <x:c r="G25" s="25" t="str">
        <x:f>IF(AND(AND(ISNUMBER(D25),D25&gt;=0),AND(ISNUMBER(F25),F25&gt;0)),D25/F25,"")</x:f>
      </x:c>
      <x:c r="H25" s="27"/>
      <x:c r="I25" s="27"/>
      <x:c r="J25" s="27"/>
      <x:c r="K25" s="28"/>
      <x:c r="L25" s="27" t="str">
        <x:v>Required</x:v>
      </x:c>
      <x:c r="M25" s="3" t="str">
        <x:f>IF(AND(L25="N/A",C25&lt;&gt;"",H25&lt;&gt;"",I25&lt;&gt;"",J25&lt;&gt;"",ISNUMBER(K25)),"N/A RECORDED",IF(OR(L25&lt;&gt;"Required",NOT(ISNUMBER(G25)),C25="",H25="",I25="",J25="",NOT(ISNUMBER(K25))),"OPEN",IF(G25&gt;1,"EXCEEDS","RECORDED")))</x:f>
        <x:v>OPEN</x:v>
      </x:c>
    </x:row>
    <x:row r="26" ht="55" customHeight="1">
      <x:c r="A26" s="9" t="str">
        <x:v>L07</x:v>
      </x:c>
      <x:c r="B26" s="9" t="str">
        <x:v>Wood splitting / group / local net failures</x:v>
      </x:c>
      <x:c r="C26" s="27"/>
      <x:c r="D26" s="33"/>
      <x:c r="E26" s="33" t="str">
        <x:v>ratio</x:v>
      </x:c>
      <x:c r="F26" s="33"/>
      <x:c r="G26" s="24" t="str">
        <x:f>IF(AND(AND(ISNUMBER(D26),D26&gt;=0),AND(ISNUMBER(F26),F26&gt;0)),D26/F26,"")</x:f>
      </x:c>
      <x:c r="H26" s="27"/>
      <x:c r="I26" s="27"/>
      <x:c r="J26" s="27"/>
      <x:c r="K26" s="28"/>
      <x:c r="L26" s="27" t="str">
        <x:v>Required</x:v>
      </x:c>
      <x:c r="M26" s="9" t="str">
        <x:f>IF(AND(L26="N/A",C26&lt;&gt;"",H26&lt;&gt;"",I26&lt;&gt;"",J26&lt;&gt;"",ISNUMBER(K26)),"N/A RECORDED",IF(OR(L26&lt;&gt;"Required",NOT(ISNUMBER(G26)),C26="",H26="",I26="",J26="",NOT(ISNUMBER(K26))),"OPEN",IF(G26&gt;1,"EXCEEDS","RECORDED")))</x:f>
        <x:v>OPEN</x:v>
      </x:c>
    </x:row>
    <x:row r="27" ht="55" customHeight="1">
      <x:c r="A27" s="3" t="str">
        <x:v>L08</x:v>
      </x:c>
      <x:c r="B27" s="3" t="str">
        <x:v>Positive vertical stop / restraint path</x:v>
      </x:c>
      <x:c r="C27" s="27"/>
      <x:c r="D27" s="34" t="str">
        <x:f>IF(ISNUMBER('Joint Calc'!C6),'Joint Calc'!C6,"")</x:f>
      </x:c>
      <x:c r="E27" s="33" t="str">
        <x:v>lbf</x:v>
      </x:c>
      <x:c r="F27" s="33"/>
      <x:c r="G27" s="25" t="str">
        <x:f>IF(AND(AND(ISNUMBER(D27),D27&gt;=0),AND(ISNUMBER(F27),F27&gt;0)),D27/F27,"")</x:f>
      </x:c>
      <x:c r="H27" s="27"/>
      <x:c r="I27" s="27"/>
      <x:c r="J27" s="27"/>
      <x:c r="K27" s="28"/>
      <x:c r="L27" s="27" t="str">
        <x:v>Required</x:v>
      </x:c>
      <x:c r="M27" s="3" t="str">
        <x:f>IF(AND(L27="N/A",C27&lt;&gt;"",H27&lt;&gt;"",I27&lt;&gt;"",J27&lt;&gt;"",ISNUMBER(K27)),"N/A RECORDED",IF(OR(L27&lt;&gt;"Required",NOT(ISNUMBER(G27)),C27="",H27="",I27="",J27="",NOT(ISNUMBER(K27))),"OPEN",IF(G27&gt;1,"EXCEEDS","RECORDED")))</x:f>
        <x:v>OPEN</x:v>
      </x:c>
    </x:row>
    <x:row r="28" ht="55" customHeight="1">
      <x:c r="A28" s="9" t="str">
        <x:v>L09</x:v>
      </x:c>
      <x:c r="B28" s="9" t="str">
        <x:v>Hitch / bridge / base-shoe local path</x:v>
      </x:c>
      <x:c r="C28" s="27"/>
      <x:c r="D28" s="33"/>
      <x:c r="E28" s="33" t="str">
        <x:v>ratio</x:v>
      </x:c>
      <x:c r="F28" s="33"/>
      <x:c r="G28" s="24" t="str">
        <x:f>IF(AND(AND(ISNUMBER(D28),D28&gt;=0),AND(ISNUMBER(F28),F28&gt;0)),D28/F28,"")</x:f>
      </x:c>
      <x:c r="H28" s="27"/>
      <x:c r="I28" s="27"/>
      <x:c r="J28" s="27"/>
      <x:c r="K28" s="28"/>
      <x:c r="L28" s="27" t="str">
        <x:v>Required</x:v>
      </x:c>
      <x:c r="M28" s="9" t="str">
        <x:f>IF(AND(L28="N/A",C28&lt;&gt;"",H28&lt;&gt;"",I28&lt;&gt;"",J28&lt;&gt;"",ISNUMBER(K28)),"N/A RECORDED",IF(OR(L28&lt;&gt;"Required",NOT(ISNUMBER(G28)),C28="",H28="",I28="",J28="",NOT(ISNUMBER(K28))),"OPEN",IF(G28&gt;1,"EXCEEDS","RECORDED")))</x:f>
        <x:v>OPEN</x:v>
      </x:c>
    </x:row>
    <x:row r="29" ht="28" customHeight="1">
      <x:c r="A29" s="3"/>
      <x:c r="B29" s="3"/>
      <x:c r="C29" s="3"/>
      <x:c r="D29" s="3"/>
      <x:c r="E29" s="3"/>
      <x:c r="F29" s="3"/>
      <x:c r="G29" s="3"/>
      <x:c r="H29" s="3"/>
      <x:c r="I29" s="3"/>
      <x:c r="J29" s="3"/>
      <x:c r="K29" s="3"/>
      <x:c r="L29" s="3"/>
      <x:c r="M29" s="3"/>
    </x:row>
    <x:row r="30" ht="28" customHeight="1">
      <x:c r="A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B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C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D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E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F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G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H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I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J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K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L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M30" s="9"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row>
    <x:row r="31" ht="28" customHeight="1">
      <x:c r="A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B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C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D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E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F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G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H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I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J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K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L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c r="M31" s="3" t="str">
        <x:v>For a normalized interaction, enter its computed demand index and its permitted limit (usually 1 only when the cited equation defines it). For force/stress/displacement checks use matching units. Raw rating kind/value, adjustment factors, load factors, duration and review assumptions belong in the basis and source fields.</x:v>
      </x:c>
    </x:row>
    <x:row r="32" ht="28" customHeight="1">
      <x:c r="A32" s="9"/>
      <x:c r="B32" s="9"/>
      <x:c r="C32" s="9"/>
      <x:c r="D32" s="9"/>
      <x:c r="E32" s="9"/>
      <x:c r="F32" s="9"/>
      <x:c r="G32" s="9"/>
      <x:c r="H32" s="9"/>
      <x:c r="I32" s="9"/>
      <x:c r="J32" s="9"/>
      <x:c r="K32" s="9"/>
      <x:c r="L32" s="9"/>
      <x:c r="M32" s="9"/>
    </x:row>
    <x:row r="33" ht="28" customHeight="1">
      <x:c r="A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B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C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D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E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F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G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H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I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J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K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L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M33"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row>
    <x:row r="34" ht="28" customHeight="1">
      <x:c r="A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B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C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D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E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F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G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H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I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J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K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L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M34" s="9"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row>
    <x:row r="35" ht="28" customHeight="1">
      <x:c r="A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B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C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D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E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F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G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H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I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J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K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L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c r="M35" s="3" t="str">
        <x:v>RECORDED means a sourced comparison has entries and D/C &lt;= 1; it does not validate the external derivation. N/A requires a governing-case/section statement, explicit basis, reference, reviewer and date. The final reviewer must check completeness, technical applicability and all other Rev B gates.</x:v>
      </x:c>
    </x:row>
  </x:sheetData>
  <x:mergeCells>
    <x:mergeCell ref="A1:M2"/>
    <x:mergeCell ref="A3:M3"/>
    <x:mergeCell ref="A30:M31"/>
    <x:mergeCell ref="A33:M35"/>
  </x:mergeCells>
  <x:conditionalFormatting sqref="M6:M28">
    <x:cfRule type="containsText" dxfId="9" priority="1" operator="containsText" text="OPEN"/>
    <x:cfRule type="containsText" dxfId="10" priority="2" operator="containsText" text="EXCEEDS"/>
    <x:cfRule type="containsText" dxfId="11" priority="3" operator="containsText" text="RECORDED"/>
  </x:conditionalFormatting>
  <x:dataValidations count="1">
    <x:dataValidation type="list" sqref="L6:L28">
      <x:formula1>"Required,N/A"</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53" hidden="0" customWidth="1"/>
    <x:col min="2" max="2" width="65" hidden="0" customWidth="1"/>
    <x:col min="3" max="3" width="36" hidden="0" customWidth="1"/>
    <x:col min="4" max="4" width="78" hidden="0" customWidth="1"/>
  </x:cols>
  <x:sheetData>
    <x:row r="1" ht="28" customHeight="1">
      <x:c r="A1" s="5" t="str">
        <x:v>Rev B | Exact row &amp; review-package status</x:v>
      </x:c>
      <x:c r="B1" s="5" t="str">
        <x:v>Rev B | Exact row &amp; review-package status</x:v>
      </x:c>
      <x:c r="C1" s="5" t="str">
        <x:v>Rev B | Exact row &amp; review-package status</x:v>
      </x:c>
      <x:c r="D1" s="5" t="str">
        <x:v>Rev B | Exact row &amp; review-package status</x:v>
      </x:c>
    </x:row>
    <x:row r="2" ht="28" customHeight="1">
      <x:c r="A2" s="5" t="str">
        <x:v>Rev B | Exact row &amp; review-package status</x:v>
      </x:c>
      <x:c r="B2" s="5" t="str">
        <x:v>Rev B | Exact row &amp; review-package status</x:v>
      </x:c>
      <x:c r="C2" s="5" t="str">
        <x:v>Rev B | Exact row &amp; review-package status</x:v>
      </x:c>
      <x:c r="D2" s="5" t="str">
        <x:v>Rev B | Exact row &amp; review-package status</x:v>
      </x:c>
    </x:row>
    <x:row r="3" ht="43" customHeight="1">
      <x:c r="A3" s="6" t="str">
        <x:v>REAL-BUILD GATE REMAINS OPEN. A complete evidence package can be submitted for a separate release decision; this workbook never issues that release.</x:v>
      </x:c>
      <x:c r="B3" s="6" t="str">
        <x:v>REAL-BUILD GATE REMAINS OPEN. A complete evidence package can be submitted for a separate release decision; this workbook never issues that release.</x:v>
      </x:c>
      <x:c r="C3" s="6" t="str">
        <x:v>REAL-BUILD GATE REMAINS OPEN. A complete evidence package can be submitted for a separate release decision; this workbook never issues that release.</x:v>
      </x:c>
      <x:c r="D3" s="6" t="str">
        <x:v>REAL-BUILD GATE REMAINS OPEN. A complete evidence package can be submitted for a separate release decision; this workbook never issues that release.</x:v>
      </x:c>
    </x:row>
    <x:row r="4" ht="28" customHeight="1">
      <x:c r="A4" s="3"/>
      <x:c r="B4" s="3"/>
      <x:c r="C4" s="3"/>
      <x:c r="D4" s="3"/>
    </x:row>
    <x:row r="5" ht="36" customHeight="1">
      <x:c r="A5" s="8" t="str">
        <x:v>Record / requirement</x:v>
      </x:c>
      <x:c r="B5" s="8" t="str">
        <x:v>Value / summary</x:v>
      </x:c>
      <x:c r="C5" s="8" t="str">
        <x:v>State / entered value</x:v>
      </x:c>
      <x:c r="D5" s="8" t="str">
        <x:v>Evidence / reviewer / reference</x:v>
      </x:c>
    </x:row>
    <x:row r="6" ht="55" customHeight="1">
      <x:c r="A6" s="9" t="str">
        <x:v>Configuration ID</x:v>
      </x:c>
      <x:c r="B6" s="9" t="str">
        <x:f>IF('Stock Inputs'!$C$6&lt;&gt;"",'Stock Inputs'!$C$6,"UNRESOLVED")</x:f>
        <x:v>UNRESOLVED</x:v>
      </x:c>
      <x:c r="C6" s="9"/>
      <x:c r="D6" s="9"/>
    </x:row>
    <x:row r="7" ht="55" customHeight="1">
      <x:c r="A7" s="3" t="str">
        <x:v>Actual spine section and orientation</x:v>
      </x:c>
      <x:c r="B7" s="3" t="str">
        <x:f>IF(AND(AND(ISNUMBER('Stock Inputs'!$C$12),'Stock Inputs'!$C$12&gt;0,ISNUMBER('Stock Inputs'!$C$13),'Stock Inputs'!$C$13&gt;0),'Stock Inputs'!$C$11&lt;&gt;""),TEXT('Stock Inputs'!$C$12,"0.000")&amp;" in across x x "&amp;TEXT('Stock Inputs'!$C$13,"0.000")&amp;" in toward y; "&amp;'Stock Inputs'!$C$11,"UNRESOLVED")</x:f>
        <x:v>UNRESOLVED</x:v>
      </x:c>
      <x:c r="C7" s="3"/>
      <x:c r="D7" s="3"/>
    </x:row>
    <x:row r="8" ht="95" customHeight="1">
      <x:c r="A8" s="9" t="str">
        <x:v>Upper bar material and connection record</x:v>
      </x:c>
      <x:c r="B8" s="9" t="str">
        <x:f>IF(AND('Joint Inputs'!C8&lt;&gt;"",'Joint Calc'!B57="LIMIT RECORD COMPLETE"),'Joint Inputs'!C8&amp;"; Vz="&amp;TEXT('Joint Calc'!B42,"0.00")&amp;" lbf; Mx="&amp;TEXT('Joint Calc'!B43,"0.00")&amp;"; My="&amp;TEXT('Joint Calc'!B44,"0.00")&amp;" lbf in; domain: "&amp;'Joint Calc'!B45,"UNRESOLVED")</x:f>
        <x:v>UNRESOLVED</x:v>
      </x:c>
      <x:c r="C8" s="9"/>
      <x:c r="D8" s="9"/>
    </x:row>
    <x:row r="9" ht="95" customHeight="1">
      <x:c r="A9" s="3" t="str">
        <x:v>Lower bar material and connection record</x:v>
      </x:c>
      <x:c r="B9" s="3" t="str">
        <x:f>IF(AND('Joint Inputs'!D8&lt;&gt;"",'Joint Calc'!C57="LIMIT RECORD COMPLETE"),'Joint Inputs'!D8&amp;"; Vz="&amp;TEXT('Joint Calc'!C42,"0.00")&amp;" lbf; Mx="&amp;TEXT('Joint Calc'!C43,"0.00")&amp;"; My="&amp;TEXT('Joint Calc'!C44,"0.00")&amp;" lbf in; domain: "&amp;'Joint Calc'!C45,"UNRESOLVED")</x:f>
        <x:v>UNRESOLVED</x:v>
      </x:c>
      <x:c r="C9" s="3"/>
      <x:c r="D9" s="3"/>
    </x:row>
    <x:row r="10" ht="95" customHeight="1">
      <x:c r="A10" s="9" t="str">
        <x:v>Bar material and calculated connection limits</x:v>
      </x:c>
      <x:c r="B10" s="9" t="str">
        <x:f>IF(AND(B8&lt;&gt;"UNRESOLVED",B9&lt;&gt;"UNRESOLVED"),"Upper: "&amp;B8&amp;" | Lower: "&amp;B9,"UNRESOLVED - complete both joint records, governing modes/cases and dated reviews")</x:f>
        <x:v>UNRESOLVED - complete both joint records, governing modes/cases and dated reviews</x:v>
      </x:c>
      <x:c r="C10" s="9"/>
      <x:c r="D10" s="9" t="str">
        <x:v>Copy this row only with both joint calculation IDs, governing failure modes, load-combination domain, reviewer and review date. Numbers without those references do not close the row.</x:v>
      </x:c>
    </x:row>
    <x:row r="11" ht="55" customHeight="1">
      <x:c r="A11" s="3"/>
      <x:c r="B11" s="3"/>
      <x:c r="C11" s="3"/>
      <x:c r="D11" s="3"/>
    </x:row>
    <x:row r="12" ht="55" customHeight="1">
      <x:c r="A12" s="9" t="str">
        <x:v>Actual maximum bounded total string tension (lbf)</x:v>
      </x:c>
      <x:c r="B12" s="9"/>
      <x:c r="C12" s="24" t="str">
        <x:f>IF(ISNUMBER('String Schedule'!M12),'String Schedule'!M12,"")</x:f>
      </x:c>
      <x:c r="D12" s="9"/>
    </x:row>
    <x:row r="13" ht="55" customHeight="1">
      <x:c r="A13" s="3" t="str">
        <x:v>Reviewed total operating limit for this configuration (lbf)</x:v>
      </x:c>
      <x:c r="B13" s="3"/>
      <x:c r="C13" s="33"/>
      <x:c r="D13" s="27"/>
    </x:row>
    <x:row r="14" ht="55" customHeight="1">
      <x:c r="A14" s="9" t="str">
        <x:v>Lower of reviewed total and planning ceiling (lbf)</x:v>
      </x:c>
      <x:c r="B14" s="9"/>
      <x:c r="C14" s="24" t="str">
        <x:f>IF(AND(ISNUMBER(C13),C13&gt;0),MIN(C13,'Guide'!$B$15),"")</x:f>
      </x:c>
      <x:c r="D14" s="9"/>
    </x:row>
    <x:row r="15" ht="55" customHeight="1">
      <x:c r="A15" s="3" t="str">
        <x:v>Total tension comparison</x:v>
      </x:c>
      <x:c r="B15" s="3"/>
      <x:c r="C15" s="3" t="str">
        <x:f>IF(AND(ISNUMBER(C12),ISNUMBER(C14),D13&lt;&gt;""),IF(C12&lt;=C14,"RECORDED","EXCEEDS"),"OPEN")</x:f>
        <x:v>OPEN</x:v>
      </x:c>
      <x:c r="D15" s="3"/>
    </x:row>
    <x:row r="16" ht="55" customHeight="1">
      <x:c r="A16" s="9"/>
      <x:c r="B16" s="9"/>
      <x:c r="C16" s="9"/>
      <x:c r="D16" s="9"/>
    </x:row>
    <x:row r="17" ht="55" customHeight="1">
      <x:c r="A17" s="3" t="str">
        <x:v>Measurement and drawing record checked</x:v>
      </x:c>
      <x:c r="B17" s="3" t="str">
        <x:v>Actual section/orientation, material/bolt lots, hole map, positive stops, all dimensions and evidence verified.</x:v>
      </x:c>
      <x:c r="C17" s="27"/>
      <x:c r="D17" s="27"/>
    </x:row>
    <x:row r="18" ht="55" customHeight="1">
      <x:c r="A18" s="9" t="str">
        <x:v>Load-model and case coverage checked</x:v>
      </x:c>
      <x:c r="B18" s="9" t="str">
        <x:v>All applicable static combinations, string tolerances, local contacts, dynamics, retuning, deflection and long-term cases reviewed.</x:v>
      </x:c>
      <x:c r="C18" s="27"/>
      <x:c r="D18" s="27"/>
    </x:row>
    <x:row r="19" ht="55" customHeight="1">
      <x:c r="A19" s="3" t="str">
        <x:v>All remaining Rev B prerequisites checked</x:v>
      </x:c>
      <x:c r="B19" s="3" t="str">
        <x:v>Original rows below require their own evidence. String-frame calculation does not approve vessel fit, tip stability, restraint or acoustic procedure.</x:v>
      </x:c>
      <x:c r="C19" s="27"/>
      <x:c r="D19" s="27"/>
    </x:row>
    <x:row r="20" ht="55" customHeight="1">
      <x:c r="A20" s="9" t="str">
        <x:v>Final package reviewer / review date</x:v>
      </x:c>
      <x:c r="B20" s="9"/>
      <x:c r="C20" s="27"/>
      <x:c r="D20" s="28"/>
    </x:row>
    <x:row r="21" ht="55" customHeight="1">
      <x:c r="A21" s="3"/>
      <x:c r="B21" s="3"/>
      <x:c r="C21" s="3"/>
      <x:c r="D21" s="3"/>
    </x:row>
    <x:row r="22" ht="62" customHeight="1">
      <x:c r="A22" s="9" t="str">
        <x:v>Measurement/calculation package</x:v>
      </x:c>
      <x:c r="B22" s="9"/>
      <x:c r="C22" s="9" t="str">
        <x:f>IF(AND('String Schedule'!B28="INPUTS RECORDED",COUNTIF('String Schedule'!K19:K23,"RECORDED")=5,COUNTIF('Review Limits'!M6:M28,"RECORDED")+COUNTIF('Review Limits'!M6:M28,"N/A RECORDED")=23,'Joint Calc'!B57="LIMIT RECORD COMPLETE",'Joint Calc'!C57="LIMIT RECORD COMPLETE",C15="RECORDED",COUNTIF(C17:C19,"REVIEWED")=3,COUNTA(D17:D19)=3,COUNTIF(C26:C33,"REVIEWED")=8,COUNTA(B26:B33)=8,COUNTA(D26:D33)=8,C20&lt;&gt;"",ISNUMBER(D20),B7&lt;&gt;"UNRESOLVED"),"READY FOR SEPARATE RELEASE REVIEW","OPEN - EVIDENCE / REVIEW INCOMPLETE")</x:f>
        <x:v>OPEN - EVIDENCE / REVIEW INCOMPLETE</x:v>
      </x:c>
      <x:c r="D22" s="9"/>
    </x:row>
    <x:row r="23" ht="62" customHeight="1">
      <x:c r="A23" s="3" t="str">
        <x:v>Fabrication / tensioning release</x:v>
      </x:c>
      <x:c r="B23" s="3"/>
      <x:c r="C23" s="3" t="str">
        <x:v>NOT RELEASED</x:v>
      </x:c>
      <x:c r="D23" s="3" t="str">
        <x:v>Fixed boundary of this deliverable. No automatic release state exists. No load-performance or acoustic certification.</x:v>
      </x:c>
    </x:row>
    <x:row r="24" ht="28" customHeight="1">
      <x:c r="A24" s="9"/>
      <x:c r="B24" s="9"/>
      <x:c r="C24" s="9"/>
      <x:c r="D24" s="9"/>
    </x:row>
    <x:row r="25" ht="30" customHeight="1">
      <x:c r="A25" s="8" t="str">
        <x:v>Other original Rev B worksheet rows - preserve independent evidence</x:v>
      </x:c>
      <x:c r="B25" s="8" t="str">
        <x:v>Other original Rev B worksheet rows - preserve independent evidence</x:v>
      </x:c>
      <x:c r="C25" s="8" t="str">
        <x:v>Other original Rev B worksheet rows - preserve independent evidence</x:v>
      </x:c>
      <x:c r="D25" s="8" t="str">
        <x:v>Other original Rev B worksheet rows - preserve independent evidence</x:v>
      </x:c>
    </x:row>
    <x:row r="26" ht="28" customHeight="1">
      <x:c r="A26" s="9" t="str">
        <x:v>Vessel ID profile and mouth at each height</x:v>
      </x:c>
      <x:c r="B26" s="27"/>
      <x:c r="C26" s="27" t="str">
        <x:v>OPEN</x:v>
      </x:c>
      <x:c r="D26" s="27"/>
    </x:row>
    <x:row r="27" ht="28" customHeight="1">
      <x:c r="A27" s="3" t="str">
        <x:v>String plane and outer-string coordinates</x:v>
      </x:c>
      <x:c r="B27" s="27"/>
      <x:c r="C27" s="27" t="str">
        <x:v>OPEN</x:v>
      </x:c>
      <x:c r="D27" s="27"/>
    </x:row>
    <x:row r="28" ht="28" customHeight="1">
      <x:c r="A28" s="9" t="str">
        <x:v>Anchor hole size, spacing, end allowance</x:v>
      </x:c>
      <x:c r="B28" s="27"/>
      <x:c r="C28" s="27" t="str">
        <x:v>OPEN</x:v>
      </x:c>
      <x:c r="D28" s="27"/>
    </x:row>
    <x:row r="29" ht="28" customHeight="1">
      <x:c r="A29" s="3" t="str">
        <x:v>Frame joints and operating-load limits</x:v>
      </x:c>
      <x:c r="B29" s="27"/>
      <x:c r="C29" s="27" t="str">
        <x:v>OPEN</x:v>
      </x:c>
      <x:c r="D29" s="27"/>
    </x:row>
    <x:row r="30" ht="28" customHeight="1">
      <x:c r="A30" s="9" t="str">
        <x:v>Mass and center of gravity in three axes</x:v>
      </x:c>
      <x:c r="B30" s="27"/>
      <x:c r="C30" s="27" t="str">
        <x:v>OPEN</x:v>
      </x:c>
      <x:c r="D30" s="27"/>
    </x:row>
    <x:row r="31" ht="28" customHeight="1">
      <x:c r="A31" s="3" t="str">
        <x:v>Foot contacts and stability margin</x:v>
      </x:c>
      <x:c r="B31" s="27"/>
      <x:c r="C31" s="27" t="str">
        <x:v>OPEN</x:v>
      </x:c>
      <x:c r="D31" s="27"/>
    </x:row>
    <x:row r="32" ht="28" customHeight="1">
      <x:c r="A32" s="9" t="str">
        <x:v>Restraint geometry and rated load basis</x:v>
      </x:c>
      <x:c r="B32" s="27"/>
      <x:c r="C32" s="27" t="str">
        <x:v>OPEN</x:v>
      </x:c>
      <x:c r="D32" s="27"/>
    </x:row>
    <x:row r="33" ht="28" customHeight="1">
      <x:c r="A33" s="3" t="str">
        <x:v>Sensor mounting, excitation, and SPL ceiling</x:v>
      </x:c>
      <x:c r="B33" s="27"/>
      <x:c r="C33" s="27" t="str">
        <x:v>OPEN</x:v>
      </x:c>
      <x:c r="D33" s="27"/>
    </x:row>
    <x:row r="34" ht="28" customHeight="1">
      <x:c r="A34" s="9"/>
      <x:c r="B34" s="9"/>
      <x:c r="C34" s="9"/>
      <x:c r="D34" s="9"/>
    </x:row>
    <x:row r="35" ht="28" customHeight="1">
      <x:c r="A35" s="3"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c r="B35" s="3"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c r="C35" s="3"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c r="D35" s="3"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row>
    <x:row r="36" ht="28" customHeight="1">
      <x:c r="A36" s="9"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c r="B36" s="9"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c r="C36" s="9"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c r="D36" s="9" t="str">
        <x:v>Required exact-row evidence: configuration ID; upper/lower actual material and stock orientation; bar/bolt/backing-plate/positive-stop identities; geometry drawing; case-specific demands and adjusted limits; controlling failure mode and interaction domain; calculation source; named reviewer and review date.</x:v>
      </x:c>
    </x:row>
  </x:sheetData>
  <x:mergeCells>
    <x:mergeCell ref="A1:D2"/>
    <x:mergeCell ref="A3:D3"/>
    <x:mergeCell ref="A25:D25"/>
    <x:mergeCell ref="A35:D36"/>
  </x:mergeCells>
  <x:conditionalFormatting sqref="C6:C33">
    <x:cfRule type="containsText" dxfId="12" priority="1" operator="containsText" text="OPEN"/>
    <x:cfRule type="containsText" dxfId="13" priority="2" operator="containsText" text="EXCEEDS"/>
    <x:cfRule type="containsText" dxfId="14" priority="3" operator="containsText" text="RECORDED"/>
  </x:conditionalFormatting>
  <x:dataValidations count="11">
    <x:dataValidation type="list" sqref="C17">
      <x:formula1>"OPEN,REVIEWED"</x:formula1>
    </x:dataValidation>
    <x:dataValidation type="list" sqref="C18">
      <x:formula1>"OPEN,REVIEWED"</x:formula1>
    </x:dataValidation>
    <x:dataValidation type="list" sqref="C19">
      <x:formula1>"OPEN,REVIEWED"</x:formula1>
    </x:dataValidation>
    <x:dataValidation type="list" sqref="C26">
      <x:formula1>"OPEN,REVIEWED"</x:formula1>
    </x:dataValidation>
    <x:dataValidation type="list" sqref="C27">
      <x:formula1>"OPEN,REVIEWED"</x:formula1>
    </x:dataValidation>
    <x:dataValidation type="list" sqref="C28">
      <x:formula1>"OPEN,REVIEWED"</x:formula1>
    </x:dataValidation>
    <x:dataValidation type="list" sqref="C29">
      <x:formula1>"OPEN,REVIEWED"</x:formula1>
    </x:dataValidation>
    <x:dataValidation type="list" sqref="C30">
      <x:formula1>"OPEN,REVIEWED"</x:formula1>
    </x:dataValidation>
    <x:dataValidation type="list" sqref="C31">
      <x:formula1>"OPEN,REVIEWED"</x:formula1>
    </x:dataValidation>
    <x:dataValidation type="list" sqref="C32">
      <x:formula1>"OPEN,REVIEWED"</x:formula1>
    </x:dataValidation>
    <x:dataValidation type="list" sqref="C33">
      <x:formula1>"OPEN,REVIEWED"</x:formula1>
    </x:dataValidation>
  </x:dataValidations>
  <x:pageMargins left="0.7" right="0.7" top="0.75" bottom="0.75" header="0.3" footer="0.3"/>
  <x:legacyDrawing xmlns:r="http://schemas.openxmlformats.org/officeDocument/2006/relationships" r:id="Rdd8dc4d2e05a4c4e"/>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46" hidden="0" customWidth="1"/>
    <x:col min="3" max="3" width="89" hidden="0" customWidth="1"/>
    <x:col min="4" max="4" width="63" hidden="0" customWidth="1"/>
    <x:col min="5" max="5" width="68" hidden="0" customWidth="1"/>
  </x:cols>
  <x:sheetData>
    <x:row r="1" ht="28" customHeight="1">
      <x:c r="A1" s="5" t="str">
        <x:v>Sources | Lineage, verification &amp; limits</x:v>
      </x:c>
      <x:c r="B1" s="5" t="str">
        <x:v>Sources | Lineage, verification &amp; limits</x:v>
      </x:c>
      <x:c r="C1" s="5" t="str">
        <x:v>Sources | Lineage, verification &amp; limits</x:v>
      </x:c>
      <x:c r="D1" s="5" t="str">
        <x:v>Sources | Lineage, verification &amp; limits</x:v>
      </x:c>
      <x:c r="E1" s="5" t="str">
        <x:v>Sources | Lineage, verification &amp; limits</x:v>
      </x:c>
    </x:row>
    <x:row r="2" ht="28" customHeight="1">
      <x:c r="A2" s="5" t="str">
        <x:v>Sources | Lineage, verification &amp; limits</x:v>
      </x:c>
      <x:c r="B2" s="5" t="str">
        <x:v>Sources | Lineage, verification &amp; limits</x:v>
      </x:c>
      <x:c r="C2" s="5" t="str">
        <x:v>Sources | Lineage, verification &amp; limits</x:v>
      </x:c>
      <x:c r="D2" s="5" t="str">
        <x:v>Sources | Lineage, verification &amp; limits</x:v>
      </x:c>
      <x:c r="E2" s="5" t="str">
        <x:v>Sources | Lineage, verification &amp; limits</x:v>
      </x:c>
    </x:row>
    <x:row r="3" ht="43" customHeight="1">
      <x:c r="A3" s="6" t="str">
        <x:v>No example value is represented as a measured build input. Source URLs are plain text for auditability.</x:v>
      </x:c>
      <x:c r="B3" s="6" t="str">
        <x:v>No example value is represented as a measured build input. Source URLs are plain text for auditability.</x:v>
      </x:c>
      <x:c r="C3" s="6" t="str">
        <x:v>No example value is represented as a measured build input. Source URLs are plain text for auditability.</x:v>
      </x:c>
      <x:c r="D3" s="6" t="str">
        <x:v>No example value is represented as a measured build input. Source URLs are plain text for auditability.</x:v>
      </x:c>
      <x:c r="E3" s="6" t="str">
        <x:v>No example value is represented as a measured build input. Source URLs are plain text for auditability.</x:v>
      </x:c>
    </x:row>
    <x:row r="4" ht="28" customHeight="1">
      <x:c r="A4" s="3"/>
      <x:c r="B4" s="3"/>
      <x:c r="C4" s="3"/>
      <x:c r="D4" s="3"/>
      <x:c r="E4" s="3"/>
    </x:row>
    <x:row r="5" ht="36" customHeight="1">
      <x:c r="A5" s="8" t="str">
        <x:v>ID</x:v>
      </x:c>
      <x:c r="B5" s="8" t="str">
        <x:v>Source</x:v>
      </x:c>
      <x:c r="C5" s="8" t="str">
        <x:v>URL / locator</x:v>
      </x:c>
      <x:c r="D5" s="8" t="str">
        <x:v>Use / citation</x:v>
      </x:c>
      <x:c r="E5" s="8" t="str">
        <x:v>Verification / limit</x:v>
      </x:c>
    </x:row>
    <x:row r="6" ht="79" customHeight="1">
      <x:c r="A6" s="9" t="str">
        <x:v>P1</x:v>
      </x:c>
      <x:c r="B6" s="9" t="str">
        <x:v>Rev B treats string tension as a --gate--, not a decoration</x:v>
      </x:c>
      <x:c r="C6" s="9" t="str">
        <x:v>https://docs.google.com/document/d/1SlbBJlrwtkTjfYzclIevJsoiEVgszdI-GTHP6-9lCJ0/edit</x:v>
      </x:c>
      <x:c r="D6" s="9" t="str">
        <x:v>Drive source modified 2026-09-08 14:56:53 UTC; EX-B1, spine check, two joint architectures, CX-1.</x:v>
      </x:c>
      <x:c r="E6" s="9" t="str">
        <x:v>Primary project lineage. Its example arithmetic and capacity claims are qualified on EX-B1 Audit.</x:v>
      </x:c>
    </x:row>
    <x:row r="7" ht="79" customHeight="1">
      <x:c r="A7" s="3" t="str">
        <x:v>P1a</x:v>
      </x:c>
      <x:c r="B7" s="3" t="str">
        <x:v>Five_String_Acoustic_Resonator_Rev_B_Schematic_Update(1).docx</x:v>
      </x:c>
      <x:c r="C7" s="3" t="str">
        <x:v>Source attachment, Rev B dated 5 September 2026; pages 4-6, sections 4-5; page 5 measurement worksheet.</x:v>
      </x:c>
      <x:c r="D7" s="3" t="str">
        <x:v>Original exact row and planning ceilings; real-build release requires completed measurement and load review.</x:v>
      </x:c>
      <x:c r="E7" s="3" t="str">
        <x:v>Retrieved complete text. This deliverable preserves its gate and adds field-level measurement/calculation records.</x:v>
      </x:c>
    </x:row>
    <x:row r="8" ht="79" customHeight="1">
      <x:c r="A8" s="9" t="str">
        <x:v>P2</x:v>
      </x:c>
      <x:c r="B8" s="9" t="str">
        <x:v>D'Addario - All About Guitar String Tension</x:v>
      </x:c>
      <x:c r="C8" s="9" t="str">
        <x:v>https://www.daddario.com/blogs/guitar/all-about-string-tension</x:v>
      </x:c>
      <x:c r="D8" s="9" t="str">
        <x:v>Current maker equation: T_lbf = UW (2 L_in f_Hz)^2 / 386.4.</x:v>
      </x:c>
      <x:c r="E8" s="9" t="str">
        <x:v>Formula verified 2026-09-08. No current UW values or real product working limits were independently established.</x:v>
      </x:c>
    </x:row>
    <x:row r="9" ht="79" customHeight="1">
      <x:c r="A9" s="3" t="str">
        <x:v>P3</x:v>
      </x:c>
      <x:c r="B9" s="3" t="str">
        <x:v>D'Addario - String Tension Pro</x:v>
      </x:c>
      <x:c r="C9" s="3" t="str">
        <x:v>https://www.daddario.com/pages/string-tension-pro-string-tension-calculator</x:v>
      </x:c>
      <x:c r="D9" s="3" t="str">
        <x:v>Manufacturer tool entry point for exact string/scale/pitch verification.</x:v>
      </x:c>
      <x:c r="E9" s="3" t="str">
        <x:v>Retain product-specific output and date before entering actual data; a tension prediction is not a hardware rating.</x:v>
      </x:c>
    </x:row>
    <x:row r="10" ht="79" customHeight="1">
      <x:c r="A10" s="9" t="str">
        <x:v>P4</x:v>
      </x:c>
      <x:c r="B10" s="9" t="str">
        <x:v>USDA FPL - Chapter 7: Stress grades and design properties</x:v>
      </x:c>
      <x:c r="C10" s="9" t="str">
        <x:v>https://research.fs.usda.gov/treesearch/62252</x:v>
      </x:c>
      <x:c r="D10" s="9" t="str">
        <x:v>FPL-GTR-282 (2021), chapter 7. Stress grades and design-property background.</x:v>
      </x:c>
      <x:c r="E10" s="9" t="str">
        <x:v>Actual species/grade/condition and adjustment basis must match the selected stock.</x:v>
      </x:c>
    </x:row>
    <x:row r="11" ht="79" customHeight="1">
      <x:c r="A11" s="3" t="str">
        <x:v>P5</x:v>
      </x:c>
      <x:c r="B11" s="3" t="str">
        <x:v>USDA FPL - Chapter 8: Fastenings</x:v>
      </x:c>
      <x:c r="C11" s="3" t="str">
        <x:v>https://research.fs.usda.gov/treesearch/62253</x:v>
      </x:c>
      <x:c r="D11" s="3" t="str">
        <x:v>FPL-GTR-282 (2021), chapter 8. Fastening behavior and wood connection background.</x:v>
      </x:c>
      <x:c r="E11" s="3" t="str">
        <x:v>Does not provide a project-specific connection approval; retain the applicable reviewed design calculations.</x:v>
      </x:c>
    </x:row>
    <x:row r="12" ht="79" customHeight="1">
      <x:c r="A12" s="9" t="str">
        <x:v>P6</x:v>
      </x:c>
      <x:c r="B12" s="9" t="str">
        <x:v>USDA FPL - Chapter 9: Structural analysis equations</x:v>
      </x:c>
      <x:c r="C12" s="9" t="str">
        <x:v>https://research.fs.usda.gov/treesearch/62251</x:v>
      </x:c>
      <x:c r="D12" s="9" t="str">
        <x:v>FPL-GTR-282 (2021), chapter 9. Beam/column analysis background.</x:v>
      </x:c>
      <x:c r="E12" s="9" t="str">
        <x:v>Workbook demands use the explicit stated first-order models; derived formulas do not establish material capacities.</x:v>
      </x:c>
    </x:row>
    <x:row r="13" ht="79" customHeight="1">
      <x:c r="A13" s="3" t="str">
        <x:v>P7</x:v>
      </x:c>
      <x:c r="B13" s="3" t="str">
        <x:v>American Wood Council - 2024 NDS</x:v>
      </x:c>
      <x:c r="C13" s="3" t="str">
        <x:v>https://awc.org/resources/2024-nds/</x:v>
      </x:c>
      <x:c r="D13" s="3" t="str">
        <x:v>Official specification entry point; reviewer selects applicable edition, provisions and adjusted design basis.</x:v>
      </x:c>
      <x:c r="E13" s="3" t="str">
        <x:v>No NDS allowables or full connection yield-mode implementation are embedded in this workbook.</x:v>
      </x:c>
    </x:row>
    <x:row r="14" ht="79" customHeight="1">
      <x:c r="A14" s="9" t="str">
        <x:v>P8</x:v>
      </x:c>
      <x:c r="B14" s="9" t="str">
        <x:v>American Wood Council - Connection Calculator</x:v>
      </x:c>
      <x:c r="C14" s="9" t="str">
        <x:v>https://awc.org/resources/connection-calculator/</x:v>
      </x:c>
      <x:c r="D14" s="9" t="str">
        <x:v>Official search result describes single-fastener lateral/withdrawal calculations under 2024 NDS.</x:v>
      </x:c>
      <x:c r="E14" s="9" t="str">
        <x:v>The page could not be opened in this run; not used to establish a numeric limit. A single-fastener tool does not resolve the full joint.</x:v>
      </x:c>
    </x:row>
    <x:row r="15" ht="79" customHeight="1">
      <x:c r="A15" s="3" t="str">
        <x:v>P9</x:v>
      </x:c>
      <x:c r="B15" s="3" t="str">
        <x:v>Legacy D'Addario tension booklet endpoint</x:v>
      </x:c>
      <x:c r="C15" s="3" t="str">
        <x:v>https://www.daddario.com/upload/tension_chart_13934.pdf</x:v>
      </x:c>
      <x:c r="D15" s="3" t="str">
        <x:v>Referenced legacy unit-weight chart; retrieval did not return the booklet in this run.</x:v>
      </x:c>
      <x:c r="E15" s="3" t="str">
        <x:v>EX-B1 UW values are inherited project-source values, not verified current purchased-string data.</x:v>
      </x:c>
    </x:row>
    <x:row r="16" ht="28" customHeight="1">
      <x:c r="A16" s="9"/>
      <x:c r="B16" s="9"/>
      <x:c r="C16" s="9"/>
      <x:c r="D16" s="9"/>
      <x:c r="E16" s="9"/>
    </x:row>
    <x:row r="17" ht="28" customHeight="1">
      <x:c r="A17" s="3" t="str">
        <x:v>Original worksheet content: Anonymous, CC0 1.0. Revision v0.1; prepared 8 September 2026. Source examples remain planning-only. This workbook and its matching PDF are review aids, not a cutting drawing, fabrication release or verified load/acoustic-performance result.</x:v>
      </x:c>
      <x:c r="B17" s="3" t="str">
        <x:v>Original worksheet content: Anonymous, CC0 1.0. Revision v0.1; prepared 8 September 2026. Source examples remain planning-only. This workbook and its matching PDF are review aids, not a cutting drawing, fabrication release or verified load/acoustic-performance result.</x:v>
      </x:c>
      <x:c r="C17" s="3" t="str">
        <x:v>Original worksheet content: Anonymous, CC0 1.0. Revision v0.1; prepared 8 September 2026. Source examples remain planning-only. This workbook and its matching PDF are review aids, not a cutting drawing, fabrication release or verified load/acoustic-performance result.</x:v>
      </x:c>
      <x:c r="D17" s="3" t="str">
        <x:v>Original worksheet content: Anonymous, CC0 1.0. Revision v0.1; prepared 8 September 2026. Source examples remain planning-only. This workbook and its matching PDF are review aids, not a cutting drawing, fabrication release or verified load/acoustic-performance result.</x:v>
      </x:c>
      <x:c r="E17" s="3" t="str">
        <x:v>Original worksheet content: Anonymous, CC0 1.0. Revision v0.1; prepared 8 September 2026. Source examples remain planning-only. This workbook and its matching PDF are review aids, not a cutting drawing, fabrication release or verified load/acoustic-performance result.</x:v>
      </x:c>
    </x:row>
    <x:row r="18" ht="28" customHeight="1">
      <x:c r="A18" s="9" t="str">
        <x:v>Original worksheet content: Anonymous, CC0 1.0. Revision v0.1; prepared 8 September 2026. Source examples remain planning-only. This workbook and its matching PDF are review aids, not a cutting drawing, fabrication release or verified load/acoustic-performance result.</x:v>
      </x:c>
      <x:c r="B18" s="9" t="str">
        <x:v>Original worksheet content: Anonymous, CC0 1.0. Revision v0.1; prepared 8 September 2026. Source examples remain planning-only. This workbook and its matching PDF are review aids, not a cutting drawing, fabrication release or verified load/acoustic-performance result.</x:v>
      </x:c>
      <x:c r="C18" s="9" t="str">
        <x:v>Original worksheet content: Anonymous, CC0 1.0. Revision v0.1; prepared 8 September 2026. Source examples remain planning-only. This workbook and its matching PDF are review aids, not a cutting drawing, fabrication release or verified load/acoustic-performance result.</x:v>
      </x:c>
      <x:c r="D18" s="9" t="str">
        <x:v>Original worksheet content: Anonymous, CC0 1.0. Revision v0.1; prepared 8 September 2026. Source examples remain planning-only. This workbook and its matching PDF are review aids, not a cutting drawing, fabrication release or verified load/acoustic-performance result.</x:v>
      </x:c>
      <x:c r="E18" s="9" t="str">
        <x:v>Original worksheet content: Anonymous, CC0 1.0. Revision v0.1; prepared 8 September 2026. Source examples remain planning-only. This workbook and its matching PDF are review aids, not a cutting drawing, fabrication release or verified load/acoustic-performance result.</x:v>
      </x:c>
    </x:row>
  </x:sheetData>
  <x:mergeCells>
    <x:mergeCell ref="A1:E2"/>
    <x:mergeCell ref="A3:E3"/>
    <x:mergeCell ref="A17:E18"/>
  </x:mergeCells>
  <x:pageMargins left="0.7" right="0.7" top="0.75" bottom="0.75" header="0.3" footer="0.3"/>
</x:worksheet>
</file>